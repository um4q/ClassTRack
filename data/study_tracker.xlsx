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ADME" sheetId="2" state="visible" r:id="rId4"/>
    <sheet name="Courses" sheetId="3" state="visible" r:id="rId5"/>
    <sheet name="Materials" sheetId="4" state="visible" r:id="rId6"/>
    <sheet name="GradeWeights" sheetId="5" state="visible" r:id="rId7"/>
    <sheet name="Topics" sheetId="6" state="visible" r:id="rId8"/>
    <sheet name="Assessments" sheetId="7" state="visible" r:id="rId9"/>
    <sheet name="PreLabs" sheetId="8" state="visible" r:id="rId10"/>
    <sheet name="Schedule" sheetId="9" state="visible" r:id="rId11"/>
    <sheet name="Holidays" sheetId="10" state="visible" r:id="rId12"/>
    <sheet name="SyllabusFlags" sheetId="11" state="visible" r:id="rId13"/>
    <sheet name="Goals" sheetId="12" state="visible" r:id="rId14"/>
    <sheet name="PracticeQuestions" sheetId="13" state="visible" r:id="rId15"/>
    <sheet name="StudyLog" sheetId="14" state="visible" r:id="rId16"/>
    <sheet name="Attendance" sheetId="15" state="visible" r:id="rId17"/>
    <sheet name="MockExams" sheetId="16" state="visible" r:id="rId18"/>
    <sheet name="Roadmap" sheetId="17" state="visible" r:id="rId19"/>
    <sheet name="BrainDump" sheetId="18" state="visible" r:id="rId20"/>
    <sheet name="Settings" sheetId="19" state="visible" r:id="rId21"/>
  </sheets>
  <definedNames>
    <definedName function="false" hidden="true" localSheetId="6" name="_xlnm._FilterDatabase" vbProcedure="false">Assessments!$A$1:$O$21</definedName>
    <definedName function="false" hidden="true" localSheetId="14" name="_xlnm._FilterDatabase" vbProcedure="false">Attendance!$A$1:$D$2</definedName>
    <definedName function="false" hidden="true" localSheetId="17" name="_xlnm._FilterDatabase" vbProcedure="false">BrainDump!$A$1:$H$2</definedName>
    <definedName function="false" hidden="true" localSheetId="2" name="_xlnm._FilterDatabase" vbProcedure="false">Courses!$A$1:$Q$7</definedName>
    <definedName function="false" hidden="true" localSheetId="11" name="_xlnm._FilterDatabase" vbProcedure="false">Goals!$A$1:$J$6</definedName>
    <definedName function="false" hidden="true" localSheetId="4" name="_xlnm._FilterDatabase" vbProcedure="false">GradeWeights!$A$1:$G$31</definedName>
    <definedName function="false" hidden="true" localSheetId="9" name="_xlnm._FilterDatabase" vbProcedure="false">Holidays!$A$1:$C$7</definedName>
    <definedName function="false" hidden="true" localSheetId="3" name="_xlnm._FilterDatabase" vbProcedure="false">Materials!$A$1:$F$120</definedName>
    <definedName function="false" hidden="true" localSheetId="15" name="_xlnm._FilterDatabase" vbProcedure="false">MockExams!$A$1:$J$2</definedName>
    <definedName function="false" hidden="true" localSheetId="12" name="_xlnm._FilterDatabase" vbProcedure="false">PracticeQuestions!$A$1:$P$10</definedName>
    <definedName function="false" hidden="true" localSheetId="7" name="_xlnm._FilterDatabase" vbProcedure="false">PreLabs!$A$1:$N$82</definedName>
    <definedName function="false" hidden="true" localSheetId="16" name="_xlnm._FilterDatabase" vbProcedure="false">Roadmap!$A$1:$J$2</definedName>
    <definedName function="false" hidden="true" localSheetId="8" name="_xlnm._FilterDatabase" vbProcedure="false">Schedule!$A$1:$I$26</definedName>
    <definedName function="false" hidden="true" localSheetId="18" name="_xlnm._FilterDatabase" vbProcedure="false">Settings!$A$1:$B$15</definedName>
    <definedName function="false" hidden="true" localSheetId="13" name="_xlnm._FilterDatabase" vbProcedure="false">StudyLog!$A$1:$I$2</definedName>
    <definedName function="false" hidden="true" localSheetId="10" name="_xlnm._FilterDatabase" vbProcedure="false">SyllabusFlags!$A$1:$F$23</definedName>
    <definedName function="false" hidden="true" localSheetId="5" name="_xlnm._FilterDatabase" vbProcedure="false">Topics!$A$1:$N$248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Target grade % - your own goal, not from the syllabus.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Weights copied from each course's Evaluation Table. INST2361 + INST2380 theory rows are placeholders.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Best-known date. Many syllabi only give 'week of' - see notes column and SyllabusFlags.</t>
        </r>
      </text>
    </comment>
  </commentList>
</comments>
</file>

<file path=xl/sharedStrings.xml><?xml version="1.0" encoding="utf-8"?>
<sst xmlns="http://schemas.openxmlformats.org/spreadsheetml/2006/main" count="3516" uniqueCount="1510">
  <si>
    <t xml:space="preserve">Study Tracker - Fall 2026 seed workbook (NAIT Instrumentation Engineering Technology, lab section X02)</t>
  </si>
  <si>
    <t xml:space="preserve">Built from Semester1.zip on 2026-09-02. Yellow cells = edit me. See README sheet for how each sheet is used.</t>
  </si>
  <si>
    <t xml:space="preserve">course_id</t>
  </si>
  <si>
    <t xml:space="preserve">code</t>
  </si>
  <si>
    <t xml:space="preserve">name</t>
  </si>
  <si>
    <t xml:space="preserve">target_grade</t>
  </si>
  <si>
    <t xml:space="preserve">theory weight %</t>
  </si>
  <si>
    <t xml:space="preserve">lab weight %</t>
  </si>
  <si>
    <t xml:space="preserve">total weight %</t>
  </si>
  <si>
    <t xml:space="preserve">weights OK?</t>
  </si>
  <si>
    <t xml:space="preserve">topics</t>
  </si>
  <si>
    <t xml:space="preserve">exams/assessments listed</t>
  </si>
  <si>
    <t xml:space="preserve">lab sessions listed</t>
  </si>
  <si>
    <t xml:space="preserve">open flags</t>
  </si>
  <si>
    <t xml:space="preserve">CMTC2341</t>
  </si>
  <si>
    <t xml:space="preserve">Data Communications</t>
  </si>
  <si>
    <t xml:space="preserve">CNTR2371</t>
  </si>
  <si>
    <t xml:space="preserve">Process Control I</t>
  </si>
  <si>
    <t xml:space="preserve">INST2310</t>
  </si>
  <si>
    <t xml:space="preserve">Process Measurements III</t>
  </si>
  <si>
    <t xml:space="preserve">INST2340</t>
  </si>
  <si>
    <t xml:space="preserve">Industrial Programming</t>
  </si>
  <si>
    <t xml:space="preserve">INST2361</t>
  </si>
  <si>
    <t xml:space="preserve">Instrumentation Engineering I</t>
  </si>
  <si>
    <t xml:space="preserve">INST2380</t>
  </si>
  <si>
    <t xml:space="preserve">Analyzers I</t>
  </si>
  <si>
    <t xml:space="preserve">Timetable (all sections A01 lecture / X02 lab) - see Schedule sheet. Holidays: Sep 7, Sep 30, Oct 12, Nov 11-13.</t>
  </si>
  <si>
    <t xml:space="preserve">Grade weights for INST2361 and INST2380 theory are PLACEHOLDERS (no syllabus in the export) - fix them in GradeWeights.</t>
  </si>
  <si>
    <t xml:space="preserve">How to use this workbook</t>
  </si>
  <si>
    <t xml:space="preserve">This is the seed data for the Study Tracker app. The app reads/writes it; you can also edit it directly in Excel (close Excel before the app saves).</t>
  </si>
  <si>
    <t xml:space="preserve">Yellow-filled cells are the ones you are expected to edit by hand: target_grade, status/confidence on Topics, score on Assessments, completed on PreLabs.</t>
  </si>
  <si>
    <t xml:space="preserve">File paths</t>
  </si>
  <si>
    <t xml:space="preserve">All paths in Materials / Topics.link / PreLabs.link are relative to data/. Unzip Semester1.zip so that the nested course zips are extracted into data/coursepacks/&lt;COURSECODE&gt;/ (the CNTR2371 lab zip into data/coursepacks/CNTR2371_LAB/). The three loose syllabus files, SCHEDULE.pdf and Course Pack 1.pdf go straight into data/coursepacks/.</t>
  </si>
  <si>
    <t xml:space="preserve">The app's start-up routine auto-extracts any *.zip dropped into data/coursepacks/ using the first word of the zip file name as the folder name (appending _LAB when the name ends in 'LAB.zip').</t>
  </si>
  <si>
    <t xml:space="preserve">Sheets</t>
  </si>
  <si>
    <t xml:space="preserve">Courses - one row per course. lab_section = X02 for everything this term. min_lab_completion_pct = labs you must complete (75%, INST2310 80%).</t>
  </si>
  <si>
    <t xml:space="preserve">Materials - every PDF/DOCX from the export; drives the dynamic 'Open ...' buttons.</t>
  </si>
  <si>
    <t xml:space="preserve">GradeWeights - evaluation tables from the syllabi. component = Theory or Lab (NAIT requires &gt;= 50% in EACH). Rows marked PLACEHOLDER must be replaced.</t>
  </si>
  <si>
    <t xml:space="preserve">Topics - syllabus sections/sub-sections with a link to the PDF and the PDF page to open. Change status as you go: Not Started -&gt; Copied -&gt; Learning / Needs Focus -&gt; Mastered.</t>
  </si>
  <si>
    <t xml:space="preserve">Assessments - every exam, midterm, practical in-lab assessment and project with the best-known date. Read notes: many dates are 'week of' or inferred. topic_ids = topics the exam covers.</t>
  </si>
  <si>
    <t xml:space="preserve">PreLabs - one row per X02 lab session. checklist uses '[ ] item|[ ] item'. Tick completed when the pre-lab is done. Rows with lab_type=None are holidays.</t>
  </si>
  <si>
    <t xml:space="preserve">Schedule - weekly timetable. If 'dates' is filled the row only occurs on those dates (bi-weekly Friday labs).</t>
  </si>
  <si>
    <t xml:space="preserve">Holidays - no-class days from the syllabi.</t>
  </si>
  <si>
    <t xml:space="preserve">SyllabusFlags - every conflict or gap found in the export. Mark resolved once you've confirmed on Brightspace.</t>
  </si>
  <si>
    <t xml:space="preserve">PracticeQuestions - starter questions; add your own (options pipe-separated for MCQ). box/next_due are managed by the app's spaced repetition.</t>
  </si>
  <si>
    <t xml:space="preserve">StudyLog, Attendance, MockExams, Roadmap, BrainDump - filled by the app.</t>
  </si>
  <si>
    <t xml:space="preserve">Settings - semester dates, theme, PDF opener command ({path} {page} placeholders).</t>
  </si>
  <si>
    <t xml:space="preserve">Example rows</t>
  </si>
  <si>
    <t xml:space="preserve">Topics row 2 shows the expected format (course 1, section 1.1, link + page). PreLabs row 2 shows a checklist. PracticeQuestions row 2 shows a Short Answer question; row 3 an MCQ with pipe-separated options.</t>
  </si>
  <si>
    <t xml:space="preserve">term</t>
  </si>
  <si>
    <t xml:space="preserve">instructor</t>
  </si>
  <si>
    <t xml:space="preserve">email</t>
  </si>
  <si>
    <t xml:space="preserve">office</t>
  </si>
  <si>
    <t xml:space="preserve">lecture_section</t>
  </si>
  <si>
    <t xml:space="preserve">lab_section</t>
  </si>
  <si>
    <t xml:space="preserve">color_hex</t>
  </si>
  <si>
    <t xml:space="preserve">syllabus_path</t>
  </si>
  <si>
    <t xml:space="preserve">theory_coursepack</t>
  </si>
  <si>
    <t xml:space="preserve">lab_coursepack</t>
  </si>
  <si>
    <t xml:space="preserve">min_lab_completion_pct</t>
  </si>
  <si>
    <t xml:space="preserve">notes</t>
  </si>
  <si>
    <t xml:space="preserve">active</t>
  </si>
  <si>
    <t xml:space="preserve">Fall 2026</t>
  </si>
  <si>
    <t xml:space="preserve">Ali Ali</t>
  </si>
  <si>
    <t xml:space="preserve">aali@nait.ca</t>
  </si>
  <si>
    <t xml:space="preserve">Y304X (ph 780-378-7134)</t>
  </si>
  <si>
    <t xml:space="preserve">A01</t>
  </si>
  <si>
    <t xml:space="preserve">X02</t>
  </si>
  <si>
    <t xml:space="preserve">#2E86DE</t>
  </si>
  <si>
    <t xml:space="preserve">coursepacks/CMTC2341/Course Syllabus CMTC2341 Fall 2026 B.pdf</t>
  </si>
  <si>
    <t xml:space="preserve">#1400</t>
  </si>
  <si>
    <t xml:space="preserve">Pass/Fail course, 50% min. Theory AND Lab each &gt;=50%. Brightspace. Bring memory stick.</t>
  </si>
  <si>
    <t xml:space="preserve">Gordon Cutting</t>
  </si>
  <si>
    <t xml:space="preserve">gordonc@nait.ca</t>
  </si>
  <si>
    <t xml:space="preserve">Y305</t>
  </si>
  <si>
    <t xml:space="preserve">#E17055</t>
  </si>
  <si>
    <t xml:space="preserve">coursepacks/CNTR 2371 Syllabus Fall 2026.pdf</t>
  </si>
  <si>
    <t xml:space="preserve">#3251</t>
  </si>
  <si>
    <t xml:space="preserve">#3252</t>
  </si>
  <si>
    <t xml:space="preserve">Theory AND Lab each &gt;=50%, course avg &gt;=50%. Labs in pairs; pre-labs done individually before lab. TI-84+, CSA safety glasses, instrument screwdriver.</t>
  </si>
  <si>
    <t xml:space="preserve">Daniela Ventura</t>
  </si>
  <si>
    <t xml:space="preserve">dventura@nait.ca</t>
  </si>
  <si>
    <t xml:space="preserve">Y304V (ph 780-491-3074)</t>
  </si>
  <si>
    <t xml:space="preserve">#00B894</t>
  </si>
  <si>
    <t xml:space="preserve">coursepacks/INST2310 Course Syllabus 2026.docx</t>
  </si>
  <si>
    <t xml:space="preserve">#1233</t>
  </si>
  <si>
    <t xml:space="preserve">#1341</t>
  </si>
  <si>
    <t xml:space="preserve">Theory AND Lab each &gt;=50%. Must complete 80% of labs. Labs 5-10 rotational. No phones in class.</t>
  </si>
  <si>
    <t xml:space="preserve">#6C5CE7</t>
  </si>
  <si>
    <t xml:space="preserve">coursepacks/INST2340 Syllabus Fall 2026 (ALi - for posting).pdf</t>
  </si>
  <si>
    <t xml:space="preserve">#1749</t>
  </si>
  <si>
    <t xml:space="preserve">Lecture AND Lab each &gt;=50%. Lab attendance compulsory. Sign-off sections in every lab. Lab project from week 7/9. Pre-labs &gt;= 30% of lab mark.</t>
  </si>
  <si>
    <t xml:space="preserve">(not in export)</t>
  </si>
  <si>
    <t xml:space="preserve">#FDCB6E</t>
  </si>
  <si>
    <t xml:space="preserve">#3253</t>
  </si>
  <si>
    <t xml:space="preserve">NO SYLLABUS IN EXPORT - grade weights are placeholders. Labs: Excel, SmartSketch, MS Project, valve sizing, AutoCAD/Visio.</t>
  </si>
  <si>
    <t xml:space="preserve">Melody Dalley (lab, per F2025 syllabus)</t>
  </si>
  <si>
    <t xml:space="preserve">melodyd@nait.ca</t>
  </si>
  <si>
    <t xml:space="preserve">#D63031</t>
  </si>
  <si>
    <t xml:space="preserve">coursepacks/INST2380 Lab Syllabus F2025.pdf</t>
  </si>
  <si>
    <t xml:space="preserve">#3015</t>
  </si>
  <si>
    <t xml:space="preserve">Lab = 20% (5% pre-lab quizzes+orientation, 15% in-lab+write-up). Pre-lab quiz on Brightspace &gt;=50%, &gt;=15 min before lab, FIRST attempt counts. Lab summary due end of period. Lab coat + safety glasses + long pants. 6 of 8 labs required. Theory weights NOT in export.</t>
  </si>
  <si>
    <t xml:space="preserve">material_id</t>
  </si>
  <si>
    <t xml:space="preserve">label</t>
  </si>
  <si>
    <t xml:space="preserve">kind</t>
  </si>
  <si>
    <t xml:space="preserve">path</t>
  </si>
  <si>
    <t xml:space="preserve">sort_order</t>
  </si>
  <si>
    <t xml:space="preserve">Coursepack CP#1400 (theory + labs)</t>
  </si>
  <si>
    <t xml:space="preserve">Coursepack</t>
  </si>
  <si>
    <t xml:space="preserve">coursepacks/CMTC2341/Content/CP#1400 - CMTC 2341.pdf</t>
  </si>
  <si>
    <t xml:space="preserve">Course Syllabus Fall 2026</t>
  </si>
  <si>
    <t xml:space="preserve">Syllabus</t>
  </si>
  <si>
    <t xml:space="preserve">Course Outline 2026/27 (outcomes)</t>
  </si>
  <si>
    <t xml:space="preserve">Course Outline</t>
  </si>
  <si>
    <t xml:space="preserve">coursepacks/CMTC2341/CMTC2341 Course Outline 2026_27.pdf</t>
  </si>
  <si>
    <t xml:space="preserve">Syllabus Fall 2026</t>
  </si>
  <si>
    <t xml:space="preserve">Course Overview</t>
  </si>
  <si>
    <t xml:space="preserve">coursepacks/CNTR2371/00 - CNTR2371 Course Overview.pdf</t>
  </si>
  <si>
    <t xml:space="preserve">Theory Section 1</t>
  </si>
  <si>
    <t xml:space="preserve">coursepacks/CNTR2371/01 - Section 1 - Basic Control Loop.pdf</t>
  </si>
  <si>
    <t xml:space="preserve">Theory Section 2</t>
  </si>
  <si>
    <t xml:space="preserve">coursepacks/CNTR2371/02 - Section 2 - Basic Process Characteristics.pdf</t>
  </si>
  <si>
    <t xml:space="preserve">Theory Section 3</t>
  </si>
  <si>
    <t xml:space="preserve">coursepacks/CNTR2371/03 - Section 3 - Characteristics of a Multicapacity Plant.pdf</t>
  </si>
  <si>
    <t xml:space="preserve">Theory Section 4</t>
  </si>
  <si>
    <t xml:space="preserve">coursepacks/CNTR2371/04 - Section 4 - Issues with Basic Feedback Control Loop_Updated_May2025.pdf</t>
  </si>
  <si>
    <t xml:space="preserve">Theory Section 5</t>
  </si>
  <si>
    <t xml:space="preserve">coursepacks/CNTR2371/05 - Section 5 - Feedback Controller Tuning_Updated_May2025.pdf</t>
  </si>
  <si>
    <t xml:space="preserve">Theory Section 6</t>
  </si>
  <si>
    <t xml:space="preserve">coursepacks/CNTR2371/06 - Section 6 - Closed Loop Response Characteristics_Updated_May2025.pdf</t>
  </si>
  <si>
    <t xml:space="preserve">Theory Section 7</t>
  </si>
  <si>
    <t xml:space="preserve">coursepacks/CNTR2371/07 - Section 7 - Frequency Analysis_Updated_May2025.pdf</t>
  </si>
  <si>
    <t xml:space="preserve">Theory Section 8</t>
  </si>
  <si>
    <t xml:space="preserve">coursepacks/CNTR2371/08 - Section 8 - Closed Loop Response and Stability_Updated_May2025.pdf</t>
  </si>
  <si>
    <t xml:space="preserve">Section 2 questions - solutions part 1</t>
  </si>
  <si>
    <t xml:space="preserve">Solutions</t>
  </si>
  <si>
    <t xml:space="preserve">coursepacks/CNTR2371/section 2 questions solution part 1.pdf</t>
  </si>
  <si>
    <t xml:space="preserve">Section 2 questions - solutions part 2</t>
  </si>
  <si>
    <t xml:space="preserve">coursepacks/CNTR2371/section 2 questions solution part 2.pdf</t>
  </si>
  <si>
    <t xml:space="preserve">Lab Overview</t>
  </si>
  <si>
    <t xml:space="preserve">Lab Coursepack</t>
  </si>
  <si>
    <t xml:space="preserve">coursepacks/CNTR2371_LAB/00 - CNTR2371 Lab Overview.pdf</t>
  </si>
  <si>
    <t xml:space="preserve">Lab 01C - Siemens PAC 353 Configuration II (Theory/Procedure)</t>
  </si>
  <si>
    <t xml:space="preserve">Lab Procedure</t>
  </si>
  <si>
    <t xml:space="preserve">coursepacks/CNTR2371_LAB/01 - Lab 01C -Siemens PAC 353 Configuration II (Theory and Procedure).pdf</t>
  </si>
  <si>
    <t xml:space="preserve">Lab 01C - Results sheet</t>
  </si>
  <si>
    <t xml:space="preserve">coursepacks/CNTR2371_LAB/01 - Lab 01C - Siemens PAC 353 Configuration II (Results).pdf</t>
  </si>
  <si>
    <t xml:space="preserve">Lab 01C - Laboratory Preparation (pre-lab)</t>
  </si>
  <si>
    <t xml:space="preserve">coursepacks/CNTR2371_LAB/01 - Lab 01C - Siemens PAC 353 Configuration II (Preparation).pdf</t>
  </si>
  <si>
    <t xml:space="preserve">Lab 02C - Siemens PAC 353 Operation (Theory/Procedure)</t>
  </si>
  <si>
    <t xml:space="preserve">coursepacks/CNTR2371_LAB/02 - Lab 02C - Siemens PAC 353 Operation (Theory_Procedure).pdf</t>
  </si>
  <si>
    <t xml:space="preserve">Lab 02C - Results sheet</t>
  </si>
  <si>
    <t xml:space="preserve">coursepacks/CNTR2371_LAB/02 - Lab 02C - Siemens PAC 353 Operation (Results).pdf</t>
  </si>
  <si>
    <t xml:space="preserve">Lab 03C - Plant Characteristics I (The 3 Basic Plants) (Theory/Procedure)</t>
  </si>
  <si>
    <t xml:space="preserve">coursepacks/CNTR2371_LAB/03 - Lab 03C - Plant Characteristics I (The 3 Basic Plants) (Theory_Procedure).pdf</t>
  </si>
  <si>
    <t xml:space="preserve">Lab 03C - Results sheet</t>
  </si>
  <si>
    <t xml:space="preserve">coursepacks/CNTR2371_LAB/03 - Lab 03C - Plant Characteristics I (The 3 Basic Plants) (Results).pdf</t>
  </si>
  <si>
    <t xml:space="preserve">Lab 04C - Plant Characteristics II (Multicapacity Plants) (Theory/Procedure)</t>
  </si>
  <si>
    <t xml:space="preserve">coursepacks/CNTR2371_LAB/04 - Lab 04C - Plant Characteristics II (Multicapacity Plants) (Theory_Procedure).pdf</t>
  </si>
  <si>
    <t xml:space="preserve">Lab 04C - Results sheet</t>
  </si>
  <si>
    <t xml:space="preserve">coursepacks/CNTR2371_LAB/04 - Lab 04C - Plant Characteristics II (Multicapacity Plants) (Results).pdf</t>
  </si>
  <si>
    <t xml:space="preserve">Lab 05C - Control Loop Stability (Theory/Procedure)</t>
  </si>
  <si>
    <t xml:space="preserve">coursepacks/CNTR2371_LAB/05 - Lab 05C - Control Loop Stability (Theory_Procedure).pdf</t>
  </si>
  <si>
    <t xml:space="preserve">Lab 05C - Results sheet</t>
  </si>
  <si>
    <t xml:space="preserve">coursepacks/CNTR2371_LAB/05 - Lab 05C - Control Loop Stability (Results).pdf</t>
  </si>
  <si>
    <t xml:space="preserve">Lab 06C - Trial and Error Tuning Methods (Theory/Procedure)</t>
  </si>
  <si>
    <t xml:space="preserve">coursepacks/CNTR2371_LAB/06 - Lab 06C - Trial and Error Tuning Methods (Theory_Procedure).pdf</t>
  </si>
  <si>
    <t xml:space="preserve">Lab 06C - Results sheet</t>
  </si>
  <si>
    <t xml:space="preserve">coursepacks/CNTR2371_LAB/06 - Lab 06C - Trial and Error Tuning Methods (Results).pdf</t>
  </si>
  <si>
    <t xml:space="preserve">Lab 07C - Ziegler-Nichols Tuning Methods (Theory/Procedure)</t>
  </si>
  <si>
    <t xml:space="preserve">coursepacks/CNTR2371_LAB/07 - Lab 07C - Ziegler-Nichols Tuning Methods (Theory_Procedure).pdf</t>
  </si>
  <si>
    <t xml:space="preserve">Lab 07C - Results sheet</t>
  </si>
  <si>
    <t xml:space="preserve">coursepacks/CNTR2371_LAB/07 - Lab 07C - Ziegler-Nichols Tuning Methods (Results).pdf</t>
  </si>
  <si>
    <t xml:space="preserve">Lab 08R1 - Tuning Temperature and Flow Loops at HE Station (Theory/Procedure)</t>
  </si>
  <si>
    <t xml:space="preserve">coursepacks/CNTR2371_LAB/08 - Lab 08R1 - Tuning Temperature and Flow Loops at HE Station (Theory_Procedure).pdf</t>
  </si>
  <si>
    <t xml:space="preserve">Lab 08R1 - Results sheet</t>
  </si>
  <si>
    <t xml:space="preserve">coursepacks/CNTR2371_LAB/08 - Lab 08R1 - Tuning Temperature and Flow Loops at HE Station (Results).pdf</t>
  </si>
  <si>
    <t xml:space="preserve">Lab 09R1 - Tuning Level and Flow Loops at Mixing Station (Theory/Procedure)</t>
  </si>
  <si>
    <t xml:space="preserve">coursepacks/CNTR2371_LAB/09 - Lab 09R1 - Tuning Level and Flow Loops at Mixing Station (Theory_Procedure).pdf</t>
  </si>
  <si>
    <t xml:space="preserve">Lab 09R1 - Results sheet</t>
  </si>
  <si>
    <t xml:space="preserve">coursepacks/CNTR2371_LAB/09 - Lab 09R1 - Tuning Level and Flow Loops at Mixing Station (Results).pdf</t>
  </si>
  <si>
    <t xml:space="preserve">Lab 10R1 - Tuning Pressure Loop at Pressure Vessel Station (Theory/Procedure)</t>
  </si>
  <si>
    <t xml:space="preserve">coursepacks/CNTR2371_LAB/10 - Lab 10R1 - Tuning Pressure Loop at Pressure Vessel Station (Theory_Procedure).pdf</t>
  </si>
  <si>
    <t xml:space="preserve">Lab 10R1 - Results sheet</t>
  </si>
  <si>
    <t xml:space="preserve">coursepacks/CNTR2371_LAB/10 - Lab 10R1 - Tuning Pressure Loop at Pressure Vessel Station (Results).pdf</t>
  </si>
  <si>
    <t xml:space="preserve">Lab 11C - Plant Frequency Response (Multicapacity Plants) (Theory/Procedure)</t>
  </si>
  <si>
    <t xml:space="preserve">coursepacks/CNTR2371_LAB/11 - Lab 11C -Plant Frequency Response (Multicapacity Plants) (Theory_Procedure).pdf</t>
  </si>
  <si>
    <t xml:space="preserve">Lab 11C - Results sheet</t>
  </si>
  <si>
    <t xml:space="preserve">coursepacks/CNTR2371_LAB/11 - Lab 11C -Plant Frequency Response (Multicapacity Plants) (Results).pdf</t>
  </si>
  <si>
    <t xml:space="preserve">Lab 11C - Laboratory Preparation (pre-lab)</t>
  </si>
  <si>
    <t xml:space="preserve">coursepacks/CNTR2371_LAB/11 - Lab 11C -Plant Frequency Response (Multicapacity Plants) (Laboratory Preparation).pdf</t>
  </si>
  <si>
    <t xml:space="preserve">Appendix - Digital Controller Configuration and Programming</t>
  </si>
  <si>
    <t xml:space="preserve">Appendix</t>
  </si>
  <si>
    <t xml:space="preserve">coursepacks/CNTR2371_LAB/Appendix - Digital Controller Configuration and Programming.pdf</t>
  </si>
  <si>
    <t xml:space="preserve">Siemens/Moore 353 User Manual</t>
  </si>
  <si>
    <t xml:space="preserve">Lab Manual</t>
  </si>
  <si>
    <t xml:space="preserve">coursepacks/CNTR2371_LAB/UsersManualMoore353.pdf</t>
  </si>
  <si>
    <t xml:space="preserve">Sample Safety Work Permit</t>
  </si>
  <si>
    <t xml:space="preserve">Other</t>
  </si>
  <si>
    <t xml:space="preserve">coursepacks/CNTR2371_LAB/Sample Safety Work Permit.pdf</t>
  </si>
  <si>
    <t xml:space="preserve">Syllabus Fall 2026 (docx)</t>
  </si>
  <si>
    <t xml:space="preserve">Theory Coursepack CP#1233 (complete)</t>
  </si>
  <si>
    <t xml:space="preserve">coursepacks/INST2310/CP#1233 - INST 2310 - Theory 2026.pdf</t>
  </si>
  <si>
    <t xml:space="preserve">Lab Coursepack CP#1341 (complete)</t>
  </si>
  <si>
    <t xml:space="preserve">coursepacks/INST2310/CP# 1341 - INST 2310 - Lab 2026.pdf</t>
  </si>
  <si>
    <t xml:space="preserve">Course Overview (outcomes)</t>
  </si>
  <si>
    <t xml:space="preserve">coursepacks/INST2310/00 -INST2310 Course Overview.pdf</t>
  </si>
  <si>
    <t xml:space="preserve">Lab Overview (rubrics)</t>
  </si>
  <si>
    <t xml:space="preserve">coursepacks/INST2310/00 - INST2310 Lab Overview.pdf</t>
  </si>
  <si>
    <t xml:space="preserve">coursepacks/INST2310/01 - Section 1 - Accuracy.pdf</t>
  </si>
  <si>
    <t xml:space="preserve">coursepacks/INST2310/02 - Section 2 - Velocity Based Flow Measurement.pdf</t>
  </si>
  <si>
    <t xml:space="preserve">coursepacks/INST2310/03 - Section 3 - Volumetric, Mass and Thermal Mass Flow Measurement.pdf</t>
  </si>
  <si>
    <t xml:space="preserve">coursepacks/INST2310/04 - Section 4 - Industrial requirements for Flow Measurement.pdf</t>
  </si>
  <si>
    <t xml:space="preserve">coursepacks/INST2310/05 - Section 5 - Density Measurement.pdf</t>
  </si>
  <si>
    <t xml:space="preserve">coursepacks/INST2310/06 - Section 6 - Tank Gauging and Inventory.pdf</t>
  </si>
  <si>
    <t xml:space="preserve">Appendix: Appendix A</t>
  </si>
  <si>
    <t xml:space="preserve">coursepacks/INST2310/07 - Appendix A.pdf</t>
  </si>
  <si>
    <t xml:space="preserve">Appendix: Appendix B</t>
  </si>
  <si>
    <t xml:space="preserve">coursepacks/INST2310/08 - Appendix B.pdf</t>
  </si>
  <si>
    <t xml:space="preserve">Appendix: Appendix C</t>
  </si>
  <si>
    <t xml:space="preserve">coursepacks/INST2310/09 - Appendix C.pdf</t>
  </si>
  <si>
    <t xml:space="preserve">Appendix: Appendix D</t>
  </si>
  <si>
    <t xml:space="preserve">coursepacks/INST2310/10 - Appendix D.pdf</t>
  </si>
  <si>
    <t xml:space="preserve">Appendix: Appendix - ISA symbols</t>
  </si>
  <si>
    <t xml:space="preserve">coursepacks/INST2310/11 - Appendix - ISA symbols.pdf</t>
  </si>
  <si>
    <t xml:space="preserve">Lab 01C - Review of Wiring Practices and Troubleshooting</t>
  </si>
  <si>
    <t xml:space="preserve">coursepacks/INST2310/01 - Lab 01C - Review of Wiring Practices and Troubleshooting.pdf</t>
  </si>
  <si>
    <t xml:space="preserve">Lab 02C - Fluke 754 Documenting Calibrator &amp; AMS Device Manager</t>
  </si>
  <si>
    <t xml:space="preserve">coursepacks/INST2310/02 - Lab 02C - Fluke 754 Documenting Calibrator &amp; AMS Device Manager.pdf</t>
  </si>
  <si>
    <t xml:space="preserve">Lab 03C - Analog and Smart Pressure Transmitter Calibration</t>
  </si>
  <si>
    <t xml:space="preserve">coursepacks/INST2310/03 - Lab 03C - Analog and Smart Pressure Transmitter Calibration.pdf</t>
  </si>
  <si>
    <t xml:space="preserve">Lab 04C - Turbine Flow Meter with MC-III Totalizer</t>
  </si>
  <si>
    <t xml:space="preserve">coursepacks/INST2310/04 - Lab 04C - Turbine Flow Meter with MC-III Totalizer.pdf</t>
  </si>
  <si>
    <t xml:space="preserve">Lab 05R - Radar Tank Gauging</t>
  </si>
  <si>
    <t xml:space="preserve">coursepacks/INST2310/05 - Lab 05R - Radar Tank Gauging.pdf</t>
  </si>
  <si>
    <t xml:space="preserve">Lab 06R - Vortex Shedding and Ultrasonic Flow Meter</t>
  </si>
  <si>
    <t xml:space="preserve">coursepacks/INST2310/06 - Lab 06R - Vortex Shedding and Ultrasonic Flow Meter.pdf</t>
  </si>
  <si>
    <t xml:space="preserve">Lab 07R - Magnetic Flow Meters</t>
  </si>
  <si>
    <t xml:space="preserve">coursepacks/INST2310/07 - Lab 07R - Magnetic Flow Meters.pdf</t>
  </si>
  <si>
    <t xml:space="preserve">Lab 08R - Liquid Coriolis Mass Flow Meter</t>
  </si>
  <si>
    <t xml:space="preserve">coursepacks/INST2310/08 - Lab 08R - Liquid Coriolis Mass Flow Meter.pdf</t>
  </si>
  <si>
    <t xml:space="preserve">Lab 09R - Gas Flow Run (Nuflo Scanner and Zedi)</t>
  </si>
  <si>
    <t xml:space="preserve">coursepacks/INST2310/09 - Lab 09R - Gas Flow Run (Nuflo Scanner and Zedi).pdf</t>
  </si>
  <si>
    <t xml:space="preserve">Lab 10R - Tank Gauging</t>
  </si>
  <si>
    <t xml:space="preserve">coursepacks/INST2310/10 - Lab 10R - Tank Gauging.pdf</t>
  </si>
  <si>
    <t xml:space="preserve">coursepacks/INST2340/01 - Section 1 - Intro to PLC and IEC 61131-3.pdf</t>
  </si>
  <si>
    <t xml:space="preserve">coursepacks/INST2340/02 - Section 2 - ControlLogix_CompactLogix PLC Hardware.pdf</t>
  </si>
  <si>
    <t xml:space="preserve">coursepacks/INST2340/03 - Section 3 - RSLogix Ladder Diagrams (LD).pdf</t>
  </si>
  <si>
    <t xml:space="preserve">coursepacks/INST2340/04 - Section 4 - RSLogix Function Block Diagrams (FBD).pdf</t>
  </si>
  <si>
    <t xml:space="preserve">coursepacks/INST2340/05 - Section 5 - RSLogix Structured Text (ST).pdf</t>
  </si>
  <si>
    <t xml:space="preserve">coursepacks/INST2340/06 - Section 6 - RSLogix Sequential Function Charts (SFC).pdf</t>
  </si>
  <si>
    <t xml:space="preserve">Lab 1 - CompactLogix PLC Hardware Intro and Software Template</t>
  </si>
  <si>
    <t xml:space="preserve">coursepacks/INST2340/07 - Lab 1 - CompactLogix PLC Hardware Intro and Software Template.pdf</t>
  </si>
  <si>
    <t xml:space="preserve">Lab 2 - CompactLogix PLC Wiring and Relays</t>
  </si>
  <si>
    <t xml:space="preserve">coursepacks/INST2340/08 - Lab 2 - CompactLogix PLC Wiring and Relays.pdf</t>
  </si>
  <si>
    <t xml:space="preserve">Lab 3 - LD Discrete 1</t>
  </si>
  <si>
    <t xml:space="preserve">coursepacks/INST2340/09 - Lab 3 - CompactLogix_LD_Discrete_1.pdf</t>
  </si>
  <si>
    <t xml:space="preserve">Lab 4 - LD Discrete 2</t>
  </si>
  <si>
    <t xml:space="preserve">coursepacks/INST2340/10 - Lab 4 - CompactLogix_LD_Discrete_2.pdf</t>
  </si>
  <si>
    <t xml:space="preserve">Lab 5 - LD Discrete 3</t>
  </si>
  <si>
    <t xml:space="preserve">coursepacks/INST2340/11 - Lab 5 - CompactLogix_LD_Discrete_3.pdf</t>
  </si>
  <si>
    <t xml:space="preserve">Lab 6 - LD Timers</t>
  </si>
  <si>
    <t xml:space="preserve">coursepacks/INST2340/Lab 6 - CompactLogix_LD_Timers (new).pdf</t>
  </si>
  <si>
    <t xml:space="preserve">Lab 7 - LD Counters</t>
  </si>
  <si>
    <t xml:space="preserve">coursepacks/INST2340/Lab 7 - CompactLogix_LD_Counters (new).pdf</t>
  </si>
  <si>
    <t xml:space="preserve">Lab 8 - LD Move/Compare</t>
  </si>
  <si>
    <t xml:space="preserve">coursepacks/INST2340/14 - Lab 8 - CompactLogix_LD_Move_Compare.pdf</t>
  </si>
  <si>
    <t xml:space="preserve">Lab 9 - LD JSR/SBR/RET</t>
  </si>
  <si>
    <t xml:space="preserve">coursepacks/INST2340/15 - Lab 9 - CompactLogix_LD_JSR_SBR_RET.pdf</t>
  </si>
  <si>
    <t xml:space="preserve">Lab 10 - Lab Project (Differential gap level control + Node-RED + MQTT)</t>
  </si>
  <si>
    <t xml:space="preserve">coursepacks/INST2340/Lab 10 - Lab Project.pdf</t>
  </si>
  <si>
    <t xml:space="preserve">Lab 11 - FBD Discrete I/O</t>
  </si>
  <si>
    <t xml:space="preserve">coursepacks/INST2340/17 - Lab 11 - ControlLogix_FBD_Discrete_IO.pdf</t>
  </si>
  <si>
    <t xml:space="preserve">Lab 12 - FBD Timers &amp; Counters</t>
  </si>
  <si>
    <t xml:space="preserve">coursepacks/INST2340/18 - Lab 12 - CompactlLogix_FBD_Timers_Counters.pdf</t>
  </si>
  <si>
    <t xml:space="preserve">Lab 13 - FBD Analog I/O</t>
  </si>
  <si>
    <t xml:space="preserve">coursepacks/INST2340/19 - Lab 13 - CompactLogix_FBD_Analog_IO.pdf</t>
  </si>
  <si>
    <t xml:space="preserve">Lab 14 - FBD Add-On Instructions</t>
  </si>
  <si>
    <t xml:space="preserve">coursepacks/INST2340/20 - Lab 14 - CompactLogix_FBD_AddOn_Instructions.pdf</t>
  </si>
  <si>
    <t xml:space="preserve">Lab 15 - ST Discrete</t>
  </si>
  <si>
    <t xml:space="preserve">coursepacks/INST2340/21 - Lab 15 - CompactLogix_ST_Discrete.pdf</t>
  </si>
  <si>
    <t xml:space="preserve">Lab 16 - ST JSR/SBR/RET</t>
  </si>
  <si>
    <t xml:space="preserve">coursepacks/INST2340/22 - Lab 16 - CompactLogix_ST_JSR_SBR_RET.pdf</t>
  </si>
  <si>
    <t xml:space="preserve">Lab 17 - SFC Linear</t>
  </si>
  <si>
    <t xml:space="preserve">coursepacks/INST2340/23 - Lab 17 - CompactLogix_SFC_Linear.pdf</t>
  </si>
  <si>
    <t xml:space="preserve">Lab 18 - SFC Branching</t>
  </si>
  <si>
    <t xml:space="preserve">coursepacks/INST2340/24 - Lab 18 - CompactLogix_SFC_Branching.pdf</t>
  </si>
  <si>
    <t xml:space="preserve">Lab 19 - Node-RED</t>
  </si>
  <si>
    <t xml:space="preserve">coursepacks/INST2340/Lab 19 - Node Red.pdf</t>
  </si>
  <si>
    <t xml:space="preserve">Lab 20 - MQTT</t>
  </si>
  <si>
    <t xml:space="preserve">coursepacks/INST2340/Lab 20 - MQTT.pdf</t>
  </si>
  <si>
    <t xml:space="preserve">Appendix A - Bytronic Hardware</t>
  </si>
  <si>
    <t xml:space="preserve">coursepacks/INST2340/25 - Appendix A - Bytronic_Hardware.pdf</t>
  </si>
  <si>
    <t xml:space="preserve">Appendix B - RSLogix Language Reference</t>
  </si>
  <si>
    <t xml:space="preserve">coursepacks/INST2340/26 - Appendix B - RSLogix Language Reference.pdf</t>
  </si>
  <si>
    <t xml:space="preserve">Appendix C - RSLogix CompactLogix Quick Start</t>
  </si>
  <si>
    <t xml:space="preserve">coursepacks/INST2340/27 - Appendix C - RSLogix CompactLogix Quick Start.pdf</t>
  </si>
  <si>
    <t xml:space="preserve">Course Overview (section + lab list)</t>
  </si>
  <si>
    <t xml:space="preserve">coursepacks/INST2361/Coursepack Files/Lecture Coursepack Files/00 - INST2361 Course Overview (2026-05-26).pdf</t>
  </si>
  <si>
    <t xml:space="preserve">Section 1 - Introduction to Instrumentation Engineering and Design</t>
  </si>
  <si>
    <t xml:space="preserve">coursepacks/INST2361/Coursepack Files/Lecture Coursepack Files/01 - Introduction to Instrumentation Engineering and Design.pdf</t>
  </si>
  <si>
    <t xml:space="preserve">Section 2 - Introduction to Projects and Project Management</t>
  </si>
  <si>
    <t xml:space="preserve">coursepacks/INST2361/Coursepack Files/Lecture Coursepack Files/02 - Introduction to Projects and Project Management (2026-05-21).pdf</t>
  </si>
  <si>
    <t xml:space="preserve">Section 3 - Project Scheduling</t>
  </si>
  <si>
    <t xml:space="preserve">coursepacks/INST2361/Coursepack Files/Lecture Coursepack Files/03 - Project Scheduling (2026-05-21).pdf</t>
  </si>
  <si>
    <t xml:space="preserve">Section 4 - Project Cost Estimates</t>
  </si>
  <si>
    <t xml:space="preserve">coursepacks/INST2361/Coursepack Files/Lecture Coursepack Files/04 - Project Cost Estimates (2026-05-21).pdf</t>
  </si>
  <si>
    <t xml:space="preserve">Section 5 - Overview of Oil and Gas Operations</t>
  </si>
  <si>
    <t xml:space="preserve">coursepacks/INST2361/Coursepack Files/Lecture Coursepack Files/05 - Overview of  Oil and Gas Operations.pdf</t>
  </si>
  <si>
    <t xml:space="preserve">Section 6A - Appendix A - Adsorption and Absorption</t>
  </si>
  <si>
    <t xml:space="preserve">coursepacks/INST2361/Coursepack Files/Lecture Coursepack Files/06A - Adsorption and absoprtion.pdf</t>
  </si>
  <si>
    <t xml:space="preserve">Section 8 - Power Plant</t>
  </si>
  <si>
    <t xml:space="preserve">coursepacks/INST2361/Coursepack Files/Lecture Coursepack Files/08 - Power Plant.pdf</t>
  </si>
  <si>
    <t xml:space="preserve">Section 9 - Pulp Mills</t>
  </si>
  <si>
    <t xml:space="preserve">coursepacks/INST2361/Coursepack Files/Lecture Coursepack Files/09 - Pulp Mills (combined).pdf</t>
  </si>
  <si>
    <t xml:space="preserve">Section 10 - Control Valve Sizing and Selection</t>
  </si>
  <si>
    <t xml:space="preserve">coursepacks/INST2361/Coursepack Files/Lecture Coursepack Files/10 - Control Valve sizing and selection (2026-05-22).pdf</t>
  </si>
  <si>
    <t xml:space="preserve">Lab Syllabus (F2025 - confirm current)</t>
  </si>
  <si>
    <t xml:space="preserve">Theory Coursepack CP#3015 sections 1-5</t>
  </si>
  <si>
    <t xml:space="preserve">coursepacks/Course Pack 1.pdf</t>
  </si>
  <si>
    <t xml:space="preserve">Lab procedure - Lab Orientation</t>
  </si>
  <si>
    <t xml:space="preserve">coursepacks/INST2380/02 - Lab Orientation.docx</t>
  </si>
  <si>
    <t xml:space="preserve">Lab procedure - Conductivity</t>
  </si>
  <si>
    <t xml:space="preserve">coursepacks/INST2380/03 - Conductivity.docx</t>
  </si>
  <si>
    <t xml:space="preserve">Lab procedure - pH</t>
  </si>
  <si>
    <t xml:space="preserve">coursepacks/INST2380/04 - pH.docx</t>
  </si>
  <si>
    <t xml:space="preserve">Lab procedure - Combustible Gases - IR</t>
  </si>
  <si>
    <t xml:space="preserve">coursepacks/INST2380/05 - Combustible Gases - IR - Copy.docx</t>
  </si>
  <si>
    <t xml:space="preserve">Lab procedure - Combustible Gases - Catalytic</t>
  </si>
  <si>
    <t xml:space="preserve">coursepacks/INST2380/06 - Combustible Gases - Catalytic.docx</t>
  </si>
  <si>
    <t xml:space="preserve">Lab procedure - Gas Mixtures</t>
  </si>
  <si>
    <t xml:space="preserve">coursepacks/INST2380/08 - Gas Mixtures.docx</t>
  </si>
  <si>
    <t xml:space="preserve">Lab procedure - Flame and Smoke Detection</t>
  </si>
  <si>
    <t xml:space="preserve">coursepacks/INST2380/14 - Flame and Smoke Detection.docx</t>
  </si>
  <si>
    <t xml:space="preserve">Alberta Apprenticeship ILMs (required theory - NOT in export)</t>
  </si>
  <si>
    <t xml:space="preserve">weight_id</t>
  </si>
  <si>
    <t xml:space="preserve">component</t>
  </si>
  <si>
    <t xml:space="preserve">category</t>
  </si>
  <si>
    <t xml:space="preserve">weight_pct</t>
  </si>
  <si>
    <t xml:space="preserve">drop_lowest</t>
  </si>
  <si>
    <t xml:space="preserve">Theory</t>
  </si>
  <si>
    <t xml:space="preserve">In-class / take-home assessments</t>
  </si>
  <si>
    <t xml:space="preserve">Weeks 2-14, due dates on Brightspace</t>
  </si>
  <si>
    <t xml:space="preserve">Lab</t>
  </si>
  <si>
    <t xml:space="preserve">Lab evaluations</t>
  </si>
  <si>
    <t xml:space="preserve">Weeks 1-14, rubrics on Brightspace</t>
  </si>
  <si>
    <t xml:space="preserve">Theory Assessment 1</t>
  </si>
  <si>
    <t xml:space="preserve">Outcomes 1-2</t>
  </si>
  <si>
    <t xml:space="preserve">Theory Assessment 2</t>
  </si>
  <si>
    <t xml:space="preserve">Outcome 3</t>
  </si>
  <si>
    <t xml:space="preserve">Theory Assessment 3</t>
  </si>
  <si>
    <t xml:space="preserve">Outcomes 4-5</t>
  </si>
  <si>
    <t xml:space="preserve">Lab assessments</t>
  </si>
  <si>
    <t xml:space="preserve">Weeks 1-15</t>
  </si>
  <si>
    <t xml:space="preserve">Practical In-Lab Assessment 1</t>
  </si>
  <si>
    <t xml:space="preserve">Week 5 or 6</t>
  </si>
  <si>
    <t xml:space="preserve">Practical In-Lab Assessment 2</t>
  </si>
  <si>
    <t xml:space="preserve">Week 9 or 10</t>
  </si>
  <si>
    <t xml:space="preserve">Sections 1-3</t>
  </si>
  <si>
    <t xml:space="preserve">Sections 4-5</t>
  </si>
  <si>
    <t xml:space="preserve">Sections 6-8</t>
  </si>
  <si>
    <t xml:space="preserve">Weekly labs</t>
  </si>
  <si>
    <t xml:space="preserve">Weeks 1-14, rubric /30</t>
  </si>
  <si>
    <t xml:space="preserve">Practical Assessment 1</t>
  </si>
  <si>
    <t xml:space="preserve">Labs 1-4</t>
  </si>
  <si>
    <t xml:space="preserve">Practical Assessment 2</t>
  </si>
  <si>
    <t xml:space="preserve">Labs 5-10</t>
  </si>
  <si>
    <t xml:space="preserve">Assignments / quizzes</t>
  </si>
  <si>
    <t xml:space="preserve">Sections 1-6</t>
  </si>
  <si>
    <t xml:space="preserve">Midterm 1</t>
  </si>
  <si>
    <t xml:space="preserve">Section 1</t>
  </si>
  <si>
    <t xml:space="preserve">Midterm 2</t>
  </si>
  <si>
    <t xml:space="preserve">Sections 2-3</t>
  </si>
  <si>
    <t xml:space="preserve">Final</t>
  </si>
  <si>
    <t xml:space="preserve">Sections 4-6</t>
  </si>
  <si>
    <t xml:space="preserve">Weeks 2-14</t>
  </si>
  <si>
    <t xml:space="preserve">Labs &amp; Practical In-Lab Assessments</t>
  </si>
  <si>
    <t xml:space="preserve">Lab Project</t>
  </si>
  <si>
    <t xml:space="preserve">Week 9 onwards</t>
  </si>
  <si>
    <t xml:space="preserve">Exam 1</t>
  </si>
  <si>
    <t xml:space="preserve">Outcomes 1-2, in class, closed book</t>
  </si>
  <si>
    <t xml:space="preserve">Exam 2</t>
  </si>
  <si>
    <t xml:space="preserve">Outcomes 3-4</t>
  </si>
  <si>
    <t xml:space="preserve">Exam 3</t>
  </si>
  <si>
    <t xml:space="preserve">Outcomes 5-7</t>
  </si>
  <si>
    <t xml:space="preserve">Theory (PLACEHOLDER)</t>
  </si>
  <si>
    <t xml:space="preserve">PLACEHOLDER - no INST2361 syllabus in export. Replace.</t>
  </si>
  <si>
    <t xml:space="preserve">Labs (PLACEHOLDER)</t>
  </si>
  <si>
    <t xml:space="preserve">Pre-lab quizzes &amp; orientation</t>
  </si>
  <si>
    <t xml:space="preserve">Each scaled to 10 marks (F2025 lab syllabus)</t>
  </si>
  <si>
    <t xml:space="preserve">In-lab performance &amp; write-up</t>
  </si>
  <si>
    <t xml:space="preserve">Each lab /20 (10 performance + 10 summary)</t>
  </si>
  <si>
    <t xml:space="preserve">PLACEHOLDER - INST2380 theory syllabus not in export. Replace.</t>
  </si>
  <si>
    <t xml:space="preserve">topic_id</t>
  </si>
  <si>
    <t xml:space="preserve">unit</t>
  </si>
  <si>
    <t xml:space="preserve">section</t>
  </si>
  <si>
    <t xml:space="preserve">title</t>
  </si>
  <si>
    <t xml:space="preserve">status</t>
  </si>
  <si>
    <t xml:space="preserve">confidence</t>
  </si>
  <si>
    <t xml:space="preserve">priority</t>
  </si>
  <si>
    <t xml:space="preserve">link</t>
  </si>
  <si>
    <t xml:space="preserve">page</t>
  </si>
  <si>
    <t xml:space="preserve">estimated_hours</t>
  </si>
  <si>
    <t xml:space="preserve">last_reviewed</t>
  </si>
  <si>
    <t xml:space="preserve">next_review</t>
  </si>
  <si>
    <t xml:space="preserve">Section 1 - Data Communications Overview</t>
  </si>
  <si>
    <t xml:space="preserve">1.1</t>
  </si>
  <si>
    <t xml:space="preserve">Industrial data comms &amp; the 3 network levels (information / control / field device)</t>
  </si>
  <si>
    <t xml:space="preserve">Not Started</t>
  </si>
  <si>
    <t xml:space="preserve">1.2</t>
  </si>
  <si>
    <t xml:space="preserve">DTE, DCE, DTE/DCE interface, transmission channel</t>
  </si>
  <si>
    <t xml:space="preserve">1.3</t>
  </si>
  <si>
    <t xml:space="preserve">Serial vs parallel; protocol, mark/space, BPS vs baud, CPS</t>
  </si>
  <si>
    <t xml:space="preserve">1.4</t>
  </si>
  <si>
    <t xml:space="preserve">Simplex / half-duplex / full-duplex</t>
  </si>
  <si>
    <t xml:space="preserve">1.5</t>
  </si>
  <si>
    <t xml:space="preserve">Asynchronous serial framing: start/stop bits, parity (incl. stick parity)</t>
  </si>
  <si>
    <t xml:space="preserve">1.6</t>
  </si>
  <si>
    <t xml:space="preserve">Electrical characteristics &amp; UART transmitter block diagram</t>
  </si>
  <si>
    <t xml:space="preserve">Section 2 - EIA/TIA Standards</t>
  </si>
  <si>
    <t xml:space="preserve">2.1</t>
  </si>
  <si>
    <t xml:space="preserve">RS-232 electrical characteristics (voltage levels, noise margin)</t>
  </si>
  <si>
    <t xml:space="preserve">2.2</t>
  </si>
  <si>
    <t xml:space="preserve">RS-232 mechanical characteristics: DB-25/DB-9 pinouts, handshake signals</t>
  </si>
  <si>
    <t xml:space="preserve">2.3</t>
  </si>
  <si>
    <t xml:space="preserve">Transmission line systems: unbalanced vs balanced</t>
  </si>
  <si>
    <t xml:space="preserve">2.4</t>
  </si>
  <si>
    <t xml:space="preserve">RS-422 / RS-485 balanced transmission, termination, multidrop</t>
  </si>
  <si>
    <t xml:space="preserve">2.5</t>
  </si>
  <si>
    <t xml:space="preserve">RS-423</t>
  </si>
  <si>
    <t xml:space="preserve">2.6</t>
  </si>
  <si>
    <t xml:space="preserve">EIA standard comparison table</t>
  </si>
  <si>
    <t xml:space="preserve">2.7</t>
  </si>
  <si>
    <t xml:space="preserve">IBM serial interface &amp; 16550 UART FIFO</t>
  </si>
  <si>
    <t xml:space="preserve">Section 3 - Protocol Analysis (DGH Modules)</t>
  </si>
  <si>
    <t xml:space="preserve">3.1</t>
  </si>
  <si>
    <t xml:space="preserve">DGH RS-232 power/data connections &amp; ring (daisy-chain) network</t>
  </si>
  <si>
    <t xml:space="preserve">3.2</t>
  </si>
  <si>
    <t xml:space="preserve">DGH module block diagram; command/response format &amp; examples</t>
  </si>
  <si>
    <t xml:space="preserve">3.3</t>
  </si>
  <si>
    <t xml:space="preserve">Common DGH commands; write-protected configuration commands</t>
  </si>
  <si>
    <t xml:space="preserve">3.4</t>
  </si>
  <si>
    <t xml:space="preserve">Setup (SU) / Read Setup (RS) commands; 1000 &amp; 3000 series setup bytes</t>
  </si>
  <si>
    <t xml:space="preserve">3.5</t>
  </si>
  <si>
    <t xml:space="preserve">Alarms, dual-purpose outputs, DGH discrete inputs</t>
  </si>
  <si>
    <t xml:space="preserve">Section 4 - Modems</t>
  </si>
  <si>
    <t xml:space="preserve">4.1</t>
  </si>
  <si>
    <t xml:space="preserve">Digital square waves, harmonics &amp; bandwidth</t>
  </si>
  <si>
    <t xml:space="preserve">4.2</t>
  </si>
  <si>
    <t xml:space="preserve">Modulation schemes: ASK, FSK, PSK, multilevel (QAM)</t>
  </si>
  <si>
    <t xml:space="preserve">4.3</t>
  </si>
  <si>
    <t xml:space="preserve">Duplex/flow control; CCITT/ITU modem standards</t>
  </si>
  <si>
    <t xml:space="preserve">4.4</t>
  </si>
  <si>
    <t xml:space="preserve">Radio (wireless) data transmission; frequencies; licensed vs ISM bands</t>
  </si>
  <si>
    <t xml:space="preserve">4.5</t>
  </si>
  <si>
    <t xml:space="preserve">Radio sets &amp; modems; spread spectrum (DSSS/FHSS); cavity filters</t>
  </si>
  <si>
    <t xml:space="preserve">4.6</t>
  </si>
  <si>
    <t xml:space="preserve">Antennas: dipole, Yagi, corner reflector, parabolic</t>
  </si>
  <si>
    <t xml:space="preserve">4.7</t>
  </si>
  <si>
    <t xml:space="preserve">Radio propagation rules &amp; path studies</t>
  </si>
  <si>
    <t xml:space="preserve">Section 5 - Transmission Media</t>
  </si>
  <si>
    <t xml:space="preserve">5.1</t>
  </si>
  <si>
    <t xml:space="preserve">Termination: none / too large / correct; reflections</t>
  </si>
  <si>
    <t xml:space="preserve">5.2</t>
  </si>
  <si>
    <t xml:space="preserve">Frequency spectrum of baseband digital signals</t>
  </si>
  <si>
    <t xml:space="preserve">5.3</t>
  </si>
  <si>
    <t xml:space="preserve">Data cable specifications: UTP and coax (Belden specs)</t>
  </si>
  <si>
    <t xml:space="preserve">5.4</t>
  </si>
  <si>
    <t xml:space="preserve">Fibre optic: system, cable construction, modes, attenuation, connectors</t>
  </si>
  <si>
    <t xml:space="preserve">Section 6 - Introduction to Computer Networks</t>
  </si>
  <si>
    <t xml:space="preserve">6.1</t>
  </si>
  <si>
    <t xml:space="preserve">ISO/OSI 7-layer model &amp; analogy</t>
  </si>
  <si>
    <t xml:space="preserve">6.2</t>
  </si>
  <si>
    <t xml:space="preserve">Physical layer topologies: star, ring, multidrop bus</t>
  </si>
  <si>
    <t xml:space="preserve">6.3</t>
  </si>
  <si>
    <t xml:space="preserve">Network devices: hub, switch, router</t>
  </si>
  <si>
    <t xml:space="preserve">6.4</t>
  </si>
  <si>
    <t xml:space="preserve">Electrical signaling: NRZ, Manchester, differential Manchester</t>
  </si>
  <si>
    <t xml:space="preserve">6.5</t>
  </si>
  <si>
    <t xml:space="preserve">Data link layer: media access, token passing, HDLC &amp; Ethernet frames</t>
  </si>
  <si>
    <t xml:space="preserve">6.6</t>
  </si>
  <si>
    <t xml:space="preserve">Error detection: BCC / CRC</t>
  </si>
  <si>
    <t xml:space="preserve">6.7</t>
  </si>
  <si>
    <t xml:space="preserve">Ethernet physical layer standards &amp; wireless (802.11)</t>
  </si>
  <si>
    <t xml:space="preserve">6.8</t>
  </si>
  <si>
    <t xml:space="preserve">Ethernet in detail; ingress protection; industrial Ethernet cables</t>
  </si>
  <si>
    <t xml:space="preserve">6.9</t>
  </si>
  <si>
    <t xml:space="preserve">TCP/IP protocol stack</t>
  </si>
  <si>
    <t xml:space="preserve">6.10</t>
  </si>
  <si>
    <t xml:space="preserve">IP address classes; static vs DHCP; Quantum PLC IP config</t>
  </si>
  <si>
    <t xml:space="preserve">6.11</t>
  </si>
  <si>
    <t xml:space="preserve">Collision domains, segmentation, physical vs logical drawings</t>
  </si>
  <si>
    <t xml:space="preserve">Section 7 - Network Security</t>
  </si>
  <si>
    <t xml:space="preserve">7.1</t>
  </si>
  <si>
    <t xml:space="preserve">Remote access &amp; common network threat descriptions</t>
  </si>
  <si>
    <t xml:space="preserve">7.2</t>
  </si>
  <si>
    <t xml:space="preserve">Process control system security standards</t>
  </si>
  <si>
    <t xml:space="preserve">7.3</t>
  </si>
  <si>
    <t xml:space="preserve">Adversarial threats to ICS; policy &amp; procedure vulnerabilities</t>
  </si>
  <si>
    <t xml:space="preserve">7.4</t>
  </si>
  <si>
    <t xml:space="preserve">Network monitoring/logging vulnerabilities; unintentional consequences</t>
  </si>
  <si>
    <t xml:space="preserve">7.5</t>
  </si>
  <si>
    <t xml:space="preserve">Recommended defence-in-depth architecture</t>
  </si>
  <si>
    <t xml:space="preserve">Section 8 - Introduction to Modicon PLCs</t>
  </si>
  <si>
    <t xml:space="preserve">8.1</t>
  </si>
  <si>
    <t xml:space="preserve">Quantum PLC hardware &amp; processor LCD status</t>
  </si>
  <si>
    <t xml:space="preserve">8.2</t>
  </si>
  <si>
    <t xml:space="preserve">Modicon addressing; assigning memory addresses to I/O</t>
  </si>
  <si>
    <t xml:space="preserve">8.3</t>
  </si>
  <si>
    <t xml:space="preserve">Basic logic instructions &amp; logic solve sequence</t>
  </si>
  <si>
    <t xml:space="preserve">8.4</t>
  </si>
  <si>
    <t xml:space="preserve">Timers (TON/TOF) and counters (CTUD) function blocks</t>
  </si>
  <si>
    <t xml:space="preserve">8.5</t>
  </si>
  <si>
    <t xml:space="preserve">MOVE, LD representation, basic math functions</t>
  </si>
  <si>
    <t xml:space="preserve">Section 1 - Basic Control Loop</t>
  </si>
  <si>
    <t xml:space="preserve">Introduction to process control</t>
  </si>
  <si>
    <t xml:space="preserve">coursepack page 1.1</t>
  </si>
  <si>
    <t xml:space="preserve">1.1.1</t>
  </si>
  <si>
    <t xml:space="preserve">Feedback vs feedforward control strategies</t>
  </si>
  <si>
    <t xml:space="preserve">coursepack page 1.4</t>
  </si>
  <si>
    <t xml:space="preserve">1.1.2</t>
  </si>
  <si>
    <t xml:space="preserve">History of process control</t>
  </si>
  <si>
    <t xml:space="preserve">coursepack page 1.10</t>
  </si>
  <si>
    <t xml:space="preserve">1.1.3</t>
  </si>
  <si>
    <t xml:space="preserve">Review of P&amp;ID symbol standards</t>
  </si>
  <si>
    <t xml:space="preserve">coursepack page 1.15</t>
  </si>
  <si>
    <t xml:space="preserve">1.1.4</t>
  </si>
  <si>
    <t xml:space="preserve">Measurement terminology</t>
  </si>
  <si>
    <t xml:space="preserve">coursepack page 1.17</t>
  </si>
  <si>
    <t xml:space="preserve">1.1.5</t>
  </si>
  <si>
    <t xml:space="preserve">Letter symbols</t>
  </si>
  <si>
    <t xml:space="preserve">coursepack page 1.20</t>
  </si>
  <si>
    <t xml:space="preserve">1.1.6</t>
  </si>
  <si>
    <t xml:space="preserve">Questions (1.1)</t>
  </si>
  <si>
    <t xml:space="preserve">coursepack page 1.21</t>
  </si>
  <si>
    <t xml:space="preserve">Feedback control loop components - the four standard components</t>
  </si>
  <si>
    <t xml:space="preserve">coursepack page 1.25</t>
  </si>
  <si>
    <t xml:space="preserve">1.2.2</t>
  </si>
  <si>
    <t xml:space="preserve">Questions (1.2)</t>
  </si>
  <si>
    <t xml:space="preserve">coursepack page 1.30</t>
  </si>
  <si>
    <t xml:space="preserve">Block diagram algebra: flow, summing, branching</t>
  </si>
  <si>
    <t xml:space="preserve">coursepack page 1.33</t>
  </si>
  <si>
    <t xml:space="preserve">1.3.4</t>
  </si>
  <si>
    <t xml:space="preserve">Block diagram reductions</t>
  </si>
  <si>
    <t xml:space="preserve">coursepack page 1.35</t>
  </si>
  <si>
    <t xml:space="preserve">1.3.5</t>
  </si>
  <si>
    <t xml:space="preserve">Questions (1.3)</t>
  </si>
  <si>
    <t xml:space="preserve">coursepack page 1.41</t>
  </si>
  <si>
    <t xml:space="preserve">Section 2 - Basic Process Characteristics</t>
  </si>
  <si>
    <t xml:space="preserve">Transfer functions: static part (gains, linearity, valve action)</t>
  </si>
  <si>
    <t xml:space="preserve">coursepack page 2.3</t>
  </si>
  <si>
    <t xml:space="preserve">2.1.2</t>
  </si>
  <si>
    <t xml:space="preserve">Transfer functions: dynamic part</t>
  </si>
  <si>
    <t xml:space="preserve">coursepack page 2.20</t>
  </si>
  <si>
    <t xml:space="preserve">Resistance type processes</t>
  </si>
  <si>
    <t xml:space="preserve">coursepack page 2.23</t>
  </si>
  <si>
    <t xml:space="preserve">First order processes - transfer function</t>
  </si>
  <si>
    <t xml:space="preserve">coursepack page 2.25</t>
  </si>
  <si>
    <t xml:space="preserve">2.3.2</t>
  </si>
  <si>
    <t xml:space="preserve">Sketching open-loop step response of first order system</t>
  </si>
  <si>
    <t xml:space="preserve">coursepack page 2.28</t>
  </si>
  <si>
    <t xml:space="preserve">2.3.3</t>
  </si>
  <si>
    <t xml:space="preserve">Time-domain analysis of first order system</t>
  </si>
  <si>
    <t xml:space="preserve">coursepack page 2.30</t>
  </si>
  <si>
    <t xml:space="preserve">Integrating process - transfer function &amp; time-domain analysis</t>
  </si>
  <si>
    <t xml:space="preserve">coursepack page 2.35</t>
  </si>
  <si>
    <t xml:space="preserve">Dead time processes</t>
  </si>
  <si>
    <t xml:space="preserve">coursepack page 2.41</t>
  </si>
  <si>
    <t xml:space="preserve">Laplace transform rules &amp; pairs</t>
  </si>
  <si>
    <t xml:space="preserve">coursepack page 2.43</t>
  </si>
  <si>
    <t xml:space="preserve">Questions (solutions posted: part 1 &amp; 2)</t>
  </si>
  <si>
    <t xml:space="preserve">coursepack page 2.49</t>
  </si>
  <si>
    <t xml:space="preserve">Section 3 - Characteristics of a Multicapacity Plant</t>
  </si>
  <si>
    <t xml:space="preserve">Non-interacting processes</t>
  </si>
  <si>
    <t xml:space="preserve">coursepack page 3.1</t>
  </si>
  <si>
    <t xml:space="preserve">Interacting processes; step responses</t>
  </si>
  <si>
    <t xml:space="preserve">coursepack page 3.2</t>
  </si>
  <si>
    <t xml:space="preserve">Non-linear multicapacity processes</t>
  </si>
  <si>
    <t xml:space="preserve">coursepack page 3.8</t>
  </si>
  <si>
    <t xml:space="preserve">Approximate transfer function (FOPDT) of a multicapacity process</t>
  </si>
  <si>
    <t xml:space="preserve">coursepack page 3.9</t>
  </si>
  <si>
    <t xml:space="preserve">Integrating plus dead time model</t>
  </si>
  <si>
    <t xml:space="preserve">coursepack page 3.12</t>
  </si>
  <si>
    <t xml:space="preserve">3.6</t>
  </si>
  <si>
    <t xml:space="preserve">The plant concept</t>
  </si>
  <si>
    <t xml:space="preserve">coursepack page 3.15</t>
  </si>
  <si>
    <t xml:space="preserve">3.7</t>
  </si>
  <si>
    <t xml:space="preserve">Questions</t>
  </si>
  <si>
    <t xml:space="preserve">coursepack page 3.17</t>
  </si>
  <si>
    <t xml:space="preserve">Section 4 - Issues with Basic Feedback Control Loop</t>
  </si>
  <si>
    <t xml:space="preserve">P-only controller issue (offset)</t>
  </si>
  <si>
    <t xml:space="preserve">coursepack page 4.1</t>
  </si>
  <si>
    <t xml:space="preserve">Integral controller issue (reset windup, anti-reset windup)</t>
  </si>
  <si>
    <t xml:space="preserve">coursepack page 4.4</t>
  </si>
  <si>
    <t xml:space="preserve">Undesirable response from derivative action; filtering; setpoint ramping</t>
  </si>
  <si>
    <t xml:space="preserve">coursepack page 4.9</t>
  </si>
  <si>
    <t xml:space="preserve">Bumpless transfer &amp; bumpless tuning</t>
  </si>
  <si>
    <t xml:space="preserve">coursepack page 4.15</t>
  </si>
  <si>
    <t xml:space="preserve">coursepack page 4.17</t>
  </si>
  <si>
    <t xml:space="preserve">Section 5 - Feedback Controller Tuning</t>
  </si>
  <si>
    <t xml:space="preserve">Ziegler-Nichols closed loop - ultimate gain method</t>
  </si>
  <si>
    <t xml:space="preserve">coursepack page 5.3</t>
  </si>
  <si>
    <t xml:space="preserve">Ziegler-Nichols open loop - reaction curve method</t>
  </si>
  <si>
    <t xml:space="preserve">coursepack page 5.5</t>
  </si>
  <si>
    <t xml:space="preserve">Closed loop Z-N wiggle tuning method</t>
  </si>
  <si>
    <t xml:space="preserve">coursepack page 5.7</t>
  </si>
  <si>
    <t xml:space="preserve">Internal Model Control (IMC)</t>
  </si>
  <si>
    <t xml:space="preserve">coursepack page 5.13</t>
  </si>
  <si>
    <t xml:space="preserve">5.5</t>
  </si>
  <si>
    <t xml:space="preserve">Trial and error method</t>
  </si>
  <si>
    <t xml:space="preserve">coursepack page 5.14</t>
  </si>
  <si>
    <t xml:space="preserve">5.6</t>
  </si>
  <si>
    <t xml:space="preserve">Tuning common loops: flow, pressure, level, temperature, composition</t>
  </si>
  <si>
    <t xml:space="preserve">coursepack page 5.16</t>
  </si>
  <si>
    <t xml:space="preserve">5.7</t>
  </si>
  <si>
    <t xml:space="preserve">Self-tuning / relay tuning</t>
  </si>
  <si>
    <t xml:space="preserve">coursepack page 5.22</t>
  </si>
  <si>
    <t xml:space="preserve">5.8</t>
  </si>
  <si>
    <t xml:space="preserve">coursepack page 5.24</t>
  </si>
  <si>
    <t xml:space="preserve">Section 6 - Closed Loop Response Characteristics</t>
  </si>
  <si>
    <t xml:space="preserve">Classification: stable (damped), marginally stable, unstable</t>
  </si>
  <si>
    <t xml:space="preserve">coursepack page 6.2</t>
  </si>
  <si>
    <t xml:space="preserve">coursepack page 6.6</t>
  </si>
  <si>
    <t xml:space="preserve">Section 7 - Frequency Analysis</t>
  </si>
  <si>
    <t xml:space="preserve">Bode plot interpretation; gain margin &amp; phase margin</t>
  </si>
  <si>
    <t xml:space="preserve">coursepack page 7.3</t>
  </si>
  <si>
    <t xml:space="preserve">7.2.1</t>
  </si>
  <si>
    <t xml:space="preserve">Frequency response: first order</t>
  </si>
  <si>
    <t xml:space="preserve">coursepack page 7.7</t>
  </si>
  <si>
    <t xml:space="preserve">7.2.2</t>
  </si>
  <si>
    <t xml:space="preserve">Frequency response: integrating</t>
  </si>
  <si>
    <t xml:space="preserve">coursepack page 7.11</t>
  </si>
  <si>
    <t xml:space="preserve">7.2.3</t>
  </si>
  <si>
    <t xml:space="preserve">Frequency response: dead time</t>
  </si>
  <si>
    <t xml:space="preserve">coursepack page 7.15</t>
  </si>
  <si>
    <t xml:space="preserve">7.2.4</t>
  </si>
  <si>
    <t xml:space="preserve">Frequency response: multi-capacity (FOPDT)</t>
  </si>
  <si>
    <t xml:space="preserve">coursepack page 7.19</t>
  </si>
  <si>
    <t xml:space="preserve">7.2.5</t>
  </si>
  <si>
    <t xml:space="preserve">Frequency response: integrating plus dead time</t>
  </si>
  <si>
    <t xml:space="preserve">coursepack page 7.24</t>
  </si>
  <si>
    <t xml:space="preserve">7.2.6</t>
  </si>
  <si>
    <t xml:space="preserve">Process transfer functions summary</t>
  </si>
  <si>
    <t xml:space="preserve">coursepack page 7.28</t>
  </si>
  <si>
    <t xml:space="preserve">coursepack page 7.29</t>
  </si>
  <si>
    <t xml:space="preserve">Appendix: rectangular-&gt;polar conversion; asymptotic Bode plotting</t>
  </si>
  <si>
    <t xml:space="preserve">coursepack page 7.49</t>
  </si>
  <si>
    <t xml:space="preserve">Section 8 - Closed Loop Response and Stability</t>
  </si>
  <si>
    <t xml:space="preserve">Stability analysis of common plant transfer functions</t>
  </si>
  <si>
    <t xml:space="preserve">coursepack page 8.5</t>
  </si>
  <si>
    <t xml:space="preserve">8.2.1</t>
  </si>
  <si>
    <t xml:space="preserve">Case 1: P action on pure integrating process</t>
  </si>
  <si>
    <t xml:space="preserve">coursepack page 8.8</t>
  </si>
  <si>
    <t xml:space="preserve">8.2.2</t>
  </si>
  <si>
    <t xml:space="preserve">Case 2: P action on pure first order process</t>
  </si>
  <si>
    <t xml:space="preserve">coursepack page 8.13</t>
  </si>
  <si>
    <t xml:space="preserve">8.2.3</t>
  </si>
  <si>
    <t xml:space="preserve">Case 3: P control on pure dead time process</t>
  </si>
  <si>
    <t xml:space="preserve">coursepack page 8.18</t>
  </si>
  <si>
    <t xml:space="preserve">Process transfer functions</t>
  </si>
  <si>
    <t xml:space="preserve">coursepack page 8.24</t>
  </si>
  <si>
    <t xml:space="preserve">coursepack page 8.25</t>
  </si>
  <si>
    <t xml:space="preserve">Section 1 - Accuracy</t>
  </si>
  <si>
    <t xml:space="preserve">Accuracy basics</t>
  </si>
  <si>
    <t xml:space="preserve">coursepack page 2</t>
  </si>
  <si>
    <t xml:space="preserve">Errors: random (precision), systematic (bias), total, illegitimate; repeatability</t>
  </si>
  <si>
    <t xml:space="preserve">coursepack page 3</t>
  </si>
  <si>
    <t xml:space="preserve">1.4.4</t>
  </si>
  <si>
    <t xml:space="preserve">Questions (errors)</t>
  </si>
  <si>
    <t xml:space="preserve">coursepack page 9</t>
  </si>
  <si>
    <t xml:space="preserve">Accuracy calculations: uncertainty interval, std dev, 95%/99% confidence</t>
  </si>
  <si>
    <t xml:space="preserve">coursepack page 11</t>
  </si>
  <si>
    <t xml:space="preserve">Operating conditions accuracy</t>
  </si>
  <si>
    <t xml:space="preserve">coursepack page 13</t>
  </si>
  <si>
    <t xml:space="preserve">1.6.1</t>
  </si>
  <si>
    <t xml:space="preserve">Questions (operating conditions)</t>
  </si>
  <si>
    <t xml:space="preserve">coursepack page 15</t>
  </si>
  <si>
    <t xml:space="preserve">1.7</t>
  </si>
  <si>
    <t xml:space="preserve">Error propagation (Taylor series / partial derivatives)</t>
  </si>
  <si>
    <t xml:space="preserve">coursepack page 17</t>
  </si>
  <si>
    <t xml:space="preserve">1.7.2</t>
  </si>
  <si>
    <t xml:space="preserve">Questions (error propagation)</t>
  </si>
  <si>
    <t xml:space="preserve">coursepack page 21</t>
  </si>
  <si>
    <t xml:space="preserve">1.8</t>
  </si>
  <si>
    <t xml:space="preserve">Sensitivity coefficients &amp; accuracy using them</t>
  </si>
  <si>
    <t xml:space="preserve">coursepack page 23</t>
  </si>
  <si>
    <t xml:space="preserve">1.8.3</t>
  </si>
  <si>
    <t xml:space="preserve">Questions (sensitivity)</t>
  </si>
  <si>
    <t xml:space="preserve">coursepack page 27</t>
  </si>
  <si>
    <t xml:space="preserve">Section 2 - Velocity Based Flow Measurement</t>
  </si>
  <si>
    <t xml:space="preserve">Direct vs indirect velocity measurement</t>
  </si>
  <si>
    <t xml:space="preserve">Turbine flow meters: principle, construction, constraints, install, calibration</t>
  </si>
  <si>
    <t xml:space="preserve">coursepack page 2.4</t>
  </si>
  <si>
    <t xml:space="preserve">2.4.7</t>
  </si>
  <si>
    <t xml:space="preserve">Questions (turbine)</t>
  </si>
  <si>
    <t xml:space="preserve">coursepack page 2.11</t>
  </si>
  <si>
    <t xml:space="preserve">Vortex flow meters: principle, constraints, calibration, install</t>
  </si>
  <si>
    <t xml:space="preserve">coursepack page 2.14</t>
  </si>
  <si>
    <t xml:space="preserve">2.5.5</t>
  </si>
  <si>
    <t xml:space="preserve">Questions (vortex)</t>
  </si>
  <si>
    <t xml:space="preserve">coursepack page 2.21</t>
  </si>
  <si>
    <t xml:space="preserve">Fluidic (Coanda effect) meter</t>
  </si>
  <si>
    <t xml:space="preserve">coursepack page 2.24</t>
  </si>
  <si>
    <t xml:space="preserve">Ultrasonic transit-time flow meter; frequency difference method</t>
  </si>
  <si>
    <t xml:space="preserve">2.8</t>
  </si>
  <si>
    <t xml:space="preserve">Doppler ultrasonic flow meter</t>
  </si>
  <si>
    <t xml:space="preserve">2.8.7</t>
  </si>
  <si>
    <t xml:space="preserve">Questions (ultrasonic)</t>
  </si>
  <si>
    <t xml:space="preserve">coursepack page 2.33</t>
  </si>
  <si>
    <t xml:space="preserve">2.9</t>
  </si>
  <si>
    <t xml:space="preserve">Magnetic flow meters: principle, converters &amp; excitation, install, calibration</t>
  </si>
  <si>
    <t xml:space="preserve">Section 3 - Volumetric, Mass and Thermal Mass Flow Measurement</t>
  </si>
  <si>
    <t xml:space="preserve">3.1.3</t>
  </si>
  <si>
    <t xml:space="preserve">Liquid positive displacement meters: types, install, maintenance, calibration</t>
  </si>
  <si>
    <t xml:space="preserve">3.1.3.6</t>
  </si>
  <si>
    <t xml:space="preserve">Questions (liquid PD)</t>
  </si>
  <si>
    <t xml:space="preserve">3.1.4</t>
  </si>
  <si>
    <t xml:space="preserve">Gas positive displacement meters</t>
  </si>
  <si>
    <t xml:space="preserve">coursepack page 3.13</t>
  </si>
  <si>
    <t xml:space="preserve">3.1.4.2</t>
  </si>
  <si>
    <t xml:space="preserve">Questions (gas PD)</t>
  </si>
  <si>
    <t xml:space="preserve">coursepack page 3.19</t>
  </si>
  <si>
    <t xml:space="preserve">3.1.5</t>
  </si>
  <si>
    <t xml:space="preserve">Volumetric flow meter compensation</t>
  </si>
  <si>
    <t xml:space="preserve">coursepack page 3.21</t>
  </si>
  <si>
    <t xml:space="preserve">3.2.3</t>
  </si>
  <si>
    <t xml:space="preserve">Mass flow measurement: volumetric x density; P/T compensation</t>
  </si>
  <si>
    <t xml:space="preserve">coursepack page 3.23</t>
  </si>
  <si>
    <t xml:space="preserve">3.2.4</t>
  </si>
  <si>
    <t xml:space="preserve">Coriolis mass flow meter: principle, pros/cons</t>
  </si>
  <si>
    <t xml:space="preserve">coursepack page 3.25</t>
  </si>
  <si>
    <t xml:space="preserve">3.2.5</t>
  </si>
  <si>
    <t xml:space="preserve">Thermal flow meters: dispersion (intrusive) &amp; capillary (non-intrusive)</t>
  </si>
  <si>
    <t xml:space="preserve">coursepack page 3.27</t>
  </si>
  <si>
    <t xml:space="preserve">3.2.6</t>
  </si>
  <si>
    <t xml:space="preserve">Questions (mass flow)</t>
  </si>
  <si>
    <t xml:space="preserve">coursepack page 3.31</t>
  </si>
  <si>
    <t xml:space="preserve">Section 4 - Industrial Requirements for Flow Measurement</t>
  </si>
  <si>
    <t xml:space="preserve">General principles: stating flow, standard conditions, compensation</t>
  </si>
  <si>
    <t xml:space="preserve">Flow totalizers: integrators, pulse-input totalizers</t>
  </si>
  <si>
    <t xml:space="preserve">coursepack page 4.5</t>
  </si>
  <si>
    <t xml:space="preserve">4.2.3</t>
  </si>
  <si>
    <t xml:space="preserve">Questions (totalizers)</t>
  </si>
  <si>
    <t xml:space="preserve">coursepack page 4.11</t>
  </si>
  <si>
    <t xml:space="preserve">4.3.1</t>
  </si>
  <si>
    <t xml:space="preserve">Flow computers: Miller's method</t>
  </si>
  <si>
    <t xml:space="preserve">coursepack page 4.13</t>
  </si>
  <si>
    <t xml:space="preserve">4.3.2</t>
  </si>
  <si>
    <t xml:space="preserve">AGA Report No. 3 (2000)</t>
  </si>
  <si>
    <t xml:space="preserve">coursepack page 4.23</t>
  </si>
  <si>
    <t xml:space="preserve">4.3.3</t>
  </si>
  <si>
    <t xml:space="preserve">AGA Report No. 3 (1985)</t>
  </si>
  <si>
    <t xml:space="preserve">coursepack page 4.24</t>
  </si>
  <si>
    <t xml:space="preserve">4.3.4</t>
  </si>
  <si>
    <t xml:space="preserve">Questions (flow computers)</t>
  </si>
  <si>
    <t xml:space="preserve">coursepack page 4.35</t>
  </si>
  <si>
    <t xml:space="preserve">Flow provers: small volume (piston), double chronometry, tank provers, master meters</t>
  </si>
  <si>
    <t xml:space="preserve">coursepack page 4.36</t>
  </si>
  <si>
    <t xml:space="preserve">4.4.7</t>
  </si>
  <si>
    <t xml:space="preserve">Questions (provers)</t>
  </si>
  <si>
    <t xml:space="preserve">coursepack page 4.44</t>
  </si>
  <si>
    <t xml:space="preserve">Gas flow provers: gravimetric, critical flow nozzles, bell provers</t>
  </si>
  <si>
    <t xml:space="preserve">coursepack page 4.47</t>
  </si>
  <si>
    <t xml:space="preserve">Alberta Energy Regulator &amp; Directive 17 (custody transfer)</t>
  </si>
  <si>
    <t xml:space="preserve">coursepack page 4.49</t>
  </si>
  <si>
    <t xml:space="preserve">Section 5 - Density Measurement</t>
  </si>
  <si>
    <t xml:space="preserve">Liquid vs gas density measurement</t>
  </si>
  <si>
    <t xml:space="preserve">Liquid devices: fixed volume, hydrometer, buoyancy, DP, capacitance, radiation</t>
  </si>
  <si>
    <t xml:space="preserve">Vibrating plate / vibrating spool / oscillating Coriolis densitometers</t>
  </si>
  <si>
    <t xml:space="preserve">coursepack page 5.15</t>
  </si>
  <si>
    <t xml:space="preserve">5.7.4</t>
  </si>
  <si>
    <t xml:space="preserve">Questions (liquid density)</t>
  </si>
  <si>
    <t xml:space="preserve">coursepack page 5.19</t>
  </si>
  <si>
    <t xml:space="preserve">Gas-only devices: manual, continuous, centrifugal, gas column balance, displacement, thermal</t>
  </si>
  <si>
    <t xml:space="preserve">coursepack page 5.27</t>
  </si>
  <si>
    <t xml:space="preserve">5.8.7</t>
  </si>
  <si>
    <t xml:space="preserve">Questions (gas density)</t>
  </si>
  <si>
    <t xml:space="preserve">coursepack page 5.31</t>
  </si>
  <si>
    <t xml:space="preserve">Section 6 - Tank Gauging and Inventory Management</t>
  </si>
  <si>
    <t xml:space="preserve">Inherent sources of error in tank gauging</t>
  </si>
  <si>
    <t xml:space="preserve">Level measurement: manual tape, float (FTG), servo (STG), radar (RTG), hydrostatic (HTG)</t>
  </si>
  <si>
    <t xml:space="preserve">coursepack page 6.3</t>
  </si>
  <si>
    <t xml:space="preserve">Flow metering for inventory; sources of error</t>
  </si>
  <si>
    <t xml:space="preserve">coursepack page 6.9</t>
  </si>
  <si>
    <t xml:space="preserve">Questions; mass &amp; volume calculations</t>
  </si>
  <si>
    <t xml:space="preserve">coursepack page 6.11</t>
  </si>
  <si>
    <t xml:space="preserve">Section 1 - Intro to PLC and IEC 61131-3</t>
  </si>
  <si>
    <t xml:space="preserve">What is a PLC: purpose, history, recent developments</t>
  </si>
  <si>
    <t xml:space="preserve">coursepack page 1-3</t>
  </si>
  <si>
    <t xml:space="preserve">PLC hardware</t>
  </si>
  <si>
    <t xml:space="preserve">coursepack page 1-5</t>
  </si>
  <si>
    <t xml:space="preserve">PLC software &amp; IEC 61131-3 languages (LD, FBD, ST, SFC, IL)</t>
  </si>
  <si>
    <t xml:space="preserve">coursepack page 1-6</t>
  </si>
  <si>
    <t xml:space="preserve">Practice worksheet</t>
  </si>
  <si>
    <t xml:space="preserve">coursepack page 1-9</t>
  </si>
  <si>
    <t xml:space="preserve">Section 2 - ControlLogix / CompactLogix PLC Hardware</t>
  </si>
  <si>
    <t xml:space="preserve">NAIT PLC hardware: CompactLogix &amp; ControlLogix</t>
  </si>
  <si>
    <t xml:space="preserve">coursepack page 2-3</t>
  </si>
  <si>
    <t xml:space="preserve">Chassis, programming connections, ControlLogix comms</t>
  </si>
  <si>
    <t xml:space="preserve">coursepack page 2-4</t>
  </si>
  <si>
    <t xml:space="preserve">2.2.4</t>
  </si>
  <si>
    <t xml:space="preserve">CompactLogix L23E-QB1B (Y238 PLC)</t>
  </si>
  <si>
    <t xml:space="preserve">coursepack page 2-8</t>
  </si>
  <si>
    <t xml:space="preserve">2.2.5</t>
  </si>
  <si>
    <t xml:space="preserve">Discrete I/O devices; 16-pt input &amp; output modules</t>
  </si>
  <si>
    <t xml:space="preserve">coursepack page 2-21</t>
  </si>
  <si>
    <t xml:space="preserve">2.2.8</t>
  </si>
  <si>
    <t xml:space="preserve">Scan sequence</t>
  </si>
  <si>
    <t xml:space="preserve">coursepack page 2-30</t>
  </si>
  <si>
    <t xml:space="preserve">2.2.9</t>
  </si>
  <si>
    <t xml:space="preserve">Worksheet: PLC hardware and processor</t>
  </si>
  <si>
    <t xml:space="preserve">coursepack page 2-31</t>
  </si>
  <si>
    <t xml:space="preserve">Tags: base, alias, internal; data types &amp; structures; scope</t>
  </si>
  <si>
    <t xml:space="preserve">coursepack page 2-36</t>
  </si>
  <si>
    <t xml:space="preserve">2.3.8</t>
  </si>
  <si>
    <t xml:space="preserve">Practice worksheet: PLC addressing</t>
  </si>
  <si>
    <t xml:space="preserve">coursepack page 2-44</t>
  </si>
  <si>
    <t xml:space="preserve">Section 3 - RSLogix Ladder Diagrams (LD)</t>
  </si>
  <si>
    <t xml:space="preserve">Ladder diagram programming basics</t>
  </si>
  <si>
    <t xml:space="preserve">coursepack page 3-5</t>
  </si>
  <si>
    <t xml:space="preserve">XIC, XIO, OTE, OTL, OTU</t>
  </si>
  <si>
    <t xml:space="preserve">coursepack page 3-7</t>
  </si>
  <si>
    <t xml:space="preserve">Logical NOT/AND/OR; Boolean expression worksheets</t>
  </si>
  <si>
    <t xml:space="preserve">coursepack page 3-15</t>
  </si>
  <si>
    <t xml:space="preserve">Designing LD programs: permissives, interlocks, lockouts</t>
  </si>
  <si>
    <t xml:space="preserve">coursepack page 3-23</t>
  </si>
  <si>
    <t xml:space="preserve">Timers: TON, RES, RTO (TOF not covered)</t>
  </si>
  <si>
    <t xml:space="preserve">coursepack page 3-35</t>
  </si>
  <si>
    <t xml:space="preserve">Counters: CTU, CTD</t>
  </si>
  <si>
    <t xml:space="preserve">coursepack page 3-62</t>
  </si>
  <si>
    <t xml:space="preserve">Data movement: MOV, MVM (basis for Lab 8)</t>
  </si>
  <si>
    <t xml:space="preserve">coursepack page 3-77</t>
  </si>
  <si>
    <t xml:space="preserve">3.8</t>
  </si>
  <si>
    <t xml:space="preserve">Other instructions: first scan bit S:FS</t>
  </si>
  <si>
    <t xml:space="preserve">coursepack page 3-86</t>
  </si>
  <si>
    <t xml:space="preserve">Section 4 - RSLogix Function Block Diagrams (FBD)</t>
  </si>
  <si>
    <t xml:space="preserve">FBD programming basics</t>
  </si>
  <si>
    <t xml:space="preserve">coursepack page 4-3</t>
  </si>
  <si>
    <t xml:space="preserve">BAND, BOR, BNOT, SETD, RESD</t>
  </si>
  <si>
    <t xml:space="preserve">coursepack page 4-8</t>
  </si>
  <si>
    <t xml:space="preserve">TONR, RTOR (TOFR not covered)</t>
  </si>
  <si>
    <t xml:space="preserve">coursepack page 4-21</t>
  </si>
  <si>
    <t xml:space="preserve">CTUD</t>
  </si>
  <si>
    <t xml:space="preserve">coursepack page 4-36</t>
  </si>
  <si>
    <t xml:space="preserve">Compare instructions</t>
  </si>
  <si>
    <t xml:space="preserve">coursepack page 4-43</t>
  </si>
  <si>
    <t xml:space="preserve">Math instructions</t>
  </si>
  <si>
    <t xml:space="preserve">coursepack page 4-45</t>
  </si>
  <si>
    <t xml:space="preserve">4.8</t>
  </si>
  <si>
    <t xml:space="preserve">Program control (JSR etc.)</t>
  </si>
  <si>
    <t xml:space="preserve">coursepack page 4-50</t>
  </si>
  <si>
    <t xml:space="preserve">4.9</t>
  </si>
  <si>
    <t xml:space="preserve">Add-On Instructions (AOI)</t>
  </si>
  <si>
    <t xml:space="preserve">coursepack page 4-57</t>
  </si>
  <si>
    <t xml:space="preserve">4.10</t>
  </si>
  <si>
    <t xml:space="preserve">MSTD, SEL, SCL, ALM</t>
  </si>
  <si>
    <t xml:space="preserve">coursepack page 4-64</t>
  </si>
  <si>
    <t xml:space="preserve">Section 5 - RSLogix Structured Text (ST)</t>
  </si>
  <si>
    <t xml:space="preserve">ST programming terms, editor, syntax, semicolons, brackets</t>
  </si>
  <si>
    <t xml:space="preserve">coursepack page 5-4</t>
  </si>
  <si>
    <t xml:space="preserve">Assigning values; Boolean expressions AND/OR/NOT</t>
  </si>
  <si>
    <t xml:space="preserve">coursepack page 5-8</t>
  </si>
  <si>
    <t xml:space="preserve">Branching: IF...THEN...ELSE...END_IF; combinations</t>
  </si>
  <si>
    <t xml:space="preserve">coursepack page 5-11</t>
  </si>
  <si>
    <t xml:space="preserve">Instantiation; timers</t>
  </si>
  <si>
    <t xml:space="preserve">coursepack page 5-18</t>
  </si>
  <si>
    <t xml:space="preserve">5.9</t>
  </si>
  <si>
    <t xml:space="preserve">Counters</t>
  </si>
  <si>
    <t xml:space="preserve">coursepack page 5-24</t>
  </si>
  <si>
    <t xml:space="preserve">5.10</t>
  </si>
  <si>
    <t xml:space="preserve">Comparison operators; arithmetic expressions</t>
  </si>
  <si>
    <t xml:space="preserve">coursepack page 5-32</t>
  </si>
  <si>
    <t xml:space="preserve">5.12</t>
  </si>
  <si>
    <t xml:space="preserve">Program control: JSR, SBR, RET</t>
  </si>
  <si>
    <t xml:space="preserve">coursepack page 5-37</t>
  </si>
  <si>
    <t xml:space="preserve">Section 6 - RSLogix Sequential Function Charts (SFC)</t>
  </si>
  <si>
    <t xml:space="preserve">What are SFCs; steps, transitions, wire-back, stop element</t>
  </si>
  <si>
    <t xml:space="preserve">coursepack page 6-3</t>
  </si>
  <si>
    <t xml:space="preserve">SFC_STEP structure</t>
  </si>
  <si>
    <t xml:space="preserve">coursepack page 6-11</t>
  </si>
  <si>
    <t xml:space="preserve">Organizing steps: sequence, selection branch, simultaneous branch</t>
  </si>
  <si>
    <t xml:space="preserve">coursepack page 6-14</t>
  </si>
  <si>
    <t xml:space="preserve">Actions: Boolean/non-Boolean; SFC_ACTION; qualifiers</t>
  </si>
  <si>
    <t xml:space="preserve">coursepack page 6-16</t>
  </si>
  <si>
    <t xml:space="preserve">Worked examples (steps/transitions, step timers)</t>
  </si>
  <si>
    <t xml:space="preserve">coursepack page 6-24</t>
  </si>
  <si>
    <t xml:space="preserve">Practice examples (P/P1, pump control with ESD)</t>
  </si>
  <si>
    <t xml:space="preserve">coursepack page 6-26</t>
  </si>
  <si>
    <t xml:space="preserve">Practice worksheet: batch control, kiln control</t>
  </si>
  <si>
    <t xml:space="preserve">coursepack page 6-30</t>
  </si>
  <si>
    <t xml:space="preserve">Instrumentation engineering scope, credentials, professional ethics</t>
  </si>
  <si>
    <t xml:space="preserve">Industry standards, specifications, permits, hazardous area classification</t>
  </si>
  <si>
    <t xml:space="preserve">Core skills of an instrument designer</t>
  </si>
  <si>
    <t xml:space="preserve">Project features, terminology, key participants, phases</t>
  </si>
  <si>
    <t xml:space="preserve">The bid process (steps 1-7); types of contracts</t>
  </si>
  <si>
    <t xml:space="preserve">Project management: PM roles, project controls, kickoff meeting</t>
  </si>
  <si>
    <t xml:space="preserve">Work breakdown structure &amp; task list</t>
  </si>
  <si>
    <t xml:space="preserve">Network / precedence diagram; forward &amp; backward pass</t>
  </si>
  <si>
    <t xml:space="preserve">Task relationships: FS, SS, FF, SF</t>
  </si>
  <si>
    <t xml:space="preserve">Gantt chart (MS Project symbols)</t>
  </si>
  <si>
    <t xml:space="preserve">Scheduling exercises</t>
  </si>
  <si>
    <t xml:space="preserve">Estimate types; detailed estimates</t>
  </si>
  <si>
    <t xml:space="preserve">Material take-off / quantity survey; direct &amp; indirect costs; specials</t>
  </si>
  <si>
    <t xml:space="preserve">Labour costs, labour burden, profit &amp; markup, GST</t>
  </si>
  <si>
    <t xml:space="preserve">Well site, separation, metering &amp; storage, gas compression</t>
  </si>
  <si>
    <t xml:space="preserve">Pipelines &amp; leak detection; utilities</t>
  </si>
  <si>
    <t xml:space="preserve">Oil distribution; natural gas transmission &amp; distribution</t>
  </si>
  <si>
    <t xml:space="preserve">Section 6 - Natural Gas (NOT IN EXPORT) + Appendix A</t>
  </si>
  <si>
    <t xml:space="preserve">6</t>
  </si>
  <si>
    <t xml:space="preserve">Natural gas processing - section PDF missing from export (flag)</t>
  </si>
  <si>
    <t xml:space="preserve">A.1</t>
  </si>
  <si>
    <t xml:space="preserve">Adsorption: air dryers, PSA, wastewater</t>
  </si>
  <si>
    <t xml:space="preserve">A.2</t>
  </si>
  <si>
    <t xml:space="preserve">Gas absorption basics &amp; operation</t>
  </si>
  <si>
    <t xml:space="preserve">Section 7 - Oil Refinery and Oil Sands (NOT IN EXPORT)</t>
  </si>
  <si>
    <t xml:space="preserve">7</t>
  </si>
  <si>
    <t xml:space="preserve">Oil refinery &amp; oil sands operations - section PDF missing from export (flag)</t>
  </si>
  <si>
    <t xml:space="preserve">MISSING FROM EXPORT - download from Brightspace</t>
  </si>
  <si>
    <t xml:space="preserve">Power plant efficiency</t>
  </si>
  <si>
    <t xml:space="preserve">Steam plant: boiler, turbine, water/steam, cooling water, fuel/ash, air/flue gas</t>
  </si>
  <si>
    <t xml:space="preserve">Cogeneration &amp; combined cycle; gas turbine; HRSG</t>
  </si>
  <si>
    <t xml:space="preserve">9.2</t>
  </si>
  <si>
    <t xml:space="preserve">Pulp &amp; paper mill overview</t>
  </si>
  <si>
    <t xml:space="preserve">9.3</t>
  </si>
  <si>
    <t xml:space="preserve">Fisher pulp &amp; paper process overview</t>
  </si>
  <si>
    <t xml:space="preserve">10.1</t>
  </si>
  <si>
    <t xml:space="preserve">Valve, actuator, positioner, accessory selection</t>
  </si>
  <si>
    <t xml:space="preserve">10.5</t>
  </si>
  <si>
    <t xml:space="preserve">Shutoff &amp; leakage classifications</t>
  </si>
  <si>
    <t xml:space="preserve">10.6</t>
  </si>
  <si>
    <t xml:space="preserve">Control valve sizing procedure, examples, exercises, Cv data</t>
  </si>
  <si>
    <t xml:space="preserve">10.7</t>
  </si>
  <si>
    <t xml:space="preserve">Control valve pressure drop within a system; exercises</t>
  </si>
  <si>
    <t xml:space="preserve">CP#3015 Theory sections</t>
  </si>
  <si>
    <t xml:space="preserve">1</t>
  </si>
  <si>
    <t xml:space="preserve">Introduction to analyzers and calibration (CP#3015 section 1)</t>
  </si>
  <si>
    <t xml:space="preserve">2</t>
  </si>
  <si>
    <t xml:space="preserve">Process H2S measurement - lead acetate tape method</t>
  </si>
  <si>
    <t xml:space="preserve">3</t>
  </si>
  <si>
    <t xml:space="preserve">Alberta surface water quality guidelines &amp; objectives</t>
  </si>
  <si>
    <t xml:space="preserve">4</t>
  </si>
  <si>
    <t xml:space="preserve">Refractive index</t>
  </si>
  <si>
    <t xml:space="preserve">5</t>
  </si>
  <si>
    <t xml:space="preserve">Formula sheet and data</t>
  </si>
  <si>
    <t xml:space="preserve">Alberta Apprenticeship ILMs (required)</t>
  </si>
  <si>
    <t xml:space="preserve">ILM</t>
  </si>
  <si>
    <t xml:space="preserve">Individual Learning Modules - NOT in export; get list from instructor/Brightspace</t>
  </si>
  <si>
    <t xml:space="preserve">MISSING FROM EXPORT</t>
  </si>
  <si>
    <t xml:space="preserve">Lab project intros (read before pre-lab quiz)</t>
  </si>
  <si>
    <t xml:space="preserve">LAB</t>
  </si>
  <si>
    <t xml:space="preserve">Lab Orientation (safety, cylinders, regulators, rotameters)</t>
  </si>
  <si>
    <t xml:space="preserve">Conductivity</t>
  </si>
  <si>
    <t xml:space="preserve">pH</t>
  </si>
  <si>
    <t xml:space="preserve">Combustible gases - IR</t>
  </si>
  <si>
    <t xml:space="preserve">Combustible gases - Catalytic</t>
  </si>
  <si>
    <t xml:space="preserve">Gas mixtures</t>
  </si>
  <si>
    <t xml:space="preserve">Flame and smoke detection</t>
  </si>
  <si>
    <t xml:space="preserve">assessment_id</t>
  </si>
  <si>
    <t xml:space="preserve">type</t>
  </si>
  <si>
    <t xml:space="preserve">due_date</t>
  </si>
  <si>
    <t xml:space="preserve">due_time</t>
  </si>
  <si>
    <t xml:space="preserve">location</t>
  </si>
  <si>
    <t xml:space="preserve">score</t>
  </si>
  <si>
    <t xml:space="preserve">max_score</t>
  </si>
  <si>
    <t xml:space="preserve">weight_override</t>
  </si>
  <si>
    <t xml:space="preserve">topic_ids</t>
  </si>
  <si>
    <t xml:space="preserve">Midterm</t>
  </si>
  <si>
    <t xml:space="preserve">Theory Assessment #1 (Outcomes 1-2: serial comms, protocol analysis)</t>
  </si>
  <si>
    <t xml:space="preserve">2026-09-23</t>
  </si>
  <si>
    <t xml:space="preserve">lecture room</t>
  </si>
  <si>
    <t xml:space="preserve">1,2,3,4,5,6,7,8,9,10,11,12,13,14,15,16,17,18</t>
  </si>
  <si>
    <t xml:space="preserve">CONFLICT: evaluation table says week of Sep 23 (wk 4); weekly schedule shows wk 6 (Oct 5-9). Confirm on Brightspace. Earlier date used.</t>
  </si>
  <si>
    <t xml:space="preserve">Theory Assessment #2 (Outcome 3: transmission media)</t>
  </si>
  <si>
    <t xml:space="preserve">2026-10-14</t>
  </si>
  <si>
    <t xml:space="preserve">19,20,21,22,23,24,25,26,27,28,29</t>
  </si>
  <si>
    <t xml:space="preserve">CONFLICT: evaluation table says week of Oct 14 (wk 7); weekly schedule shows wk 10 (Nov 2-6). Confirm. Earlier date used.</t>
  </si>
  <si>
    <t xml:space="preserve">Theory Assessment #3 (Outcomes 4-5: networks/OSI, security)</t>
  </si>
  <si>
    <t xml:space="preserve">2026-12-09</t>
  </si>
  <si>
    <t xml:space="preserve">30,31,32,33,34,35,36,37,38,39,40,41,42,43,44,45,46,47,48,49,50</t>
  </si>
  <si>
    <t xml:space="preserve">Week of Dec 9 (wk 15). Exact day TBC.</t>
  </si>
  <si>
    <t xml:space="preserve">Theory Assessment 1 (Sections 1-3)</t>
  </si>
  <si>
    <t xml:space="preserve">2026-10-06</t>
  </si>
  <si>
    <t xml:space="preserve">51,52,53,54,55,56,57,58,59,60,61,62,63,64,65,66,67,68,69,70,71,72,73,74,75,76,77,78,79</t>
  </si>
  <si>
    <t xml:space="preserve">Week 6 (Oct 5-9). Exact day TBC - lectures Tue/Wed/Thu.</t>
  </si>
  <si>
    <t xml:space="preserve">Practical Lab Assessment</t>
  </si>
  <si>
    <t xml:space="preserve">08:00</t>
  </si>
  <si>
    <t xml:space="preserve">Y136</t>
  </si>
  <si>
    <t xml:space="preserve">X01/X02 week of Oct 5 per syllabus schedule (eval table: week 5 or 6). Covers Labs 01-04 (PAC 353 + plant characteristics).</t>
  </si>
  <si>
    <t xml:space="preserve">Theory Assessment 2 (Sections 4-5)</t>
  </si>
  <si>
    <t xml:space="preserve">2026-10-27</t>
  </si>
  <si>
    <t xml:space="preserve">80,81,82,83,84,85,86,87,88,89,90,91,92</t>
  </si>
  <si>
    <t xml:space="preserve">CONFLICT: evaluation table says week 9 (Oct 26-30); weekly schedule lists it under Nov 2 week (wk 10). Confirm. Earlier date used.</t>
  </si>
  <si>
    <t xml:space="preserve">2026-11-03</t>
  </si>
  <si>
    <t xml:space="preserve">80,81,82,83,84,85,86,87,88,89,90,91,92,93,94</t>
  </si>
  <si>
    <t xml:space="preserve">X01/X02 week of Nov 2 per syllabus. Covers Labs 05-07 (stability, tuning).</t>
  </si>
  <si>
    <t xml:space="preserve">Theory Assessment 3 (Sections 6-8)</t>
  </si>
  <si>
    <t xml:space="preserve">2026-12-14</t>
  </si>
  <si>
    <t xml:space="preserve">TBC</t>
  </si>
  <si>
    <t xml:space="preserve">93,94,95,96,97,98,99,100,101,102,103,104,105,106,107,108,109</t>
  </si>
  <si>
    <t xml:space="preserve">Week 16 exam week (Dec 14-16). Exact day TBC.</t>
  </si>
  <si>
    <t xml:space="preserve">Midterm #1 (Section 1 - Accuracy)</t>
  </si>
  <si>
    <t xml:space="preserve">2026-09-28</t>
  </si>
  <si>
    <t xml:space="preserve">110,111,112,113,114,115,116,117,118,119</t>
  </si>
  <si>
    <t xml:space="preserve">Week of Sep 28. Exact day TBC (lectures Mon/Wed/Thu).</t>
  </si>
  <si>
    <t xml:space="preserve">Lab Practical Assessment #1 (Labs 1-4)</t>
  </si>
  <si>
    <t xml:space="preserve">2026-10-19</t>
  </si>
  <si>
    <t xml:space="preserve">Y205</t>
  </si>
  <si>
    <t xml:space="preserve">110,111,112,113,114,115,116,117,118,119,120,121,122,123,124,125,126,127,128,129</t>
  </si>
  <si>
    <t xml:space="preserve">Syllabus: ~week 7. X02 Monday of wk 7 = Oct 12 (Thanksgiving). Inferred Oct 19 - check Brightspace lab exam schedule.</t>
  </si>
  <si>
    <t xml:space="preserve">Midterm #2 (Sections 2-3 - velocity, volumetric, mass flow)</t>
  </si>
  <si>
    <t xml:space="preserve">2026-11-02</t>
  </si>
  <si>
    <t xml:space="preserve">120,121,122,123,124,125,126,127,128,129,130,131,132,133,134,135,136,137,138</t>
  </si>
  <si>
    <t xml:space="preserve">Week of Nov 2. Exact day TBC.</t>
  </si>
  <si>
    <t xml:space="preserve">Lab Practical Assessment #2 (Labs 5-10)</t>
  </si>
  <si>
    <t xml:space="preserve">120,121,122,123,124,125,126,127,128,129,130,131,132,133,134,135,136,137,138,150,151,152,153,154,155,156,157,158,159</t>
  </si>
  <si>
    <t xml:space="preserve">Syllabus: ~week 15. Inferred X02 Monday Dec 14 after 6 rotation labs - check Brightspace lab exam schedule.</t>
  </si>
  <si>
    <t xml:space="preserve">Final (Sections 4-6 - industrial requirements, density, tank gauging)</t>
  </si>
  <si>
    <t xml:space="preserve">139,140,141,142,143,144,145,146,147,148,149,150,151,152,153,154,155,156,157,158,159</t>
  </si>
  <si>
    <t xml:space="preserve">Week of Dec 14. Exact day TBC.</t>
  </si>
  <si>
    <t xml:space="preserve">Exam #1 (Outcomes 1-2: PLC intro, hardware, LD basics)</t>
  </si>
  <si>
    <t xml:space="preserve">2026-09-29</t>
  </si>
  <si>
    <t xml:space="preserve">160,161,162,163,164,165,166,167,168,169,170,171,172,173,174,175,176,177,178,179</t>
  </si>
  <si>
    <t xml:space="preserve">Weekly schedule: week 5 (Sep 28-Oct 2; no class Wed Sep 30). Evaluation table says TBD. Confirm.</t>
  </si>
  <si>
    <t xml:space="preserve">Practical In-Lab Assessment #1 [LD]</t>
  </si>
  <si>
    <t xml:space="preserve">2026-10-22</t>
  </si>
  <si>
    <t xml:space="preserve">Y238</t>
  </si>
  <si>
    <t xml:space="preserve">172,173,174,175,176,177,178,179</t>
  </si>
  <si>
    <t xml:space="preserve">Week 8. Covers weekly labs to date (LD). Second X02 session Fri Oct 23.</t>
  </si>
  <si>
    <t xml:space="preserve">Project</t>
  </si>
  <si>
    <t xml:space="preserve">Lab Project - differential gap level control + Node-RED HMI + MQTT (HiveMQ)</t>
  </si>
  <si>
    <t xml:space="preserve">2026-12-11</t>
  </si>
  <si>
    <t xml:space="preserve">172,173,174,175,176,177,178,179,180,181,182,183,184,185,186,187,188,189,190,191,192,193,194,195,196,197,198,199,200,201,202</t>
  </si>
  <si>
    <t xml:space="preserve">Info given week 7, overview week 9, milestones announced then. Final due date TBC - placeholder end of week 15. Needs HiveMQ account; see Lab 19 Node-RED &amp; Lab 20 MQTT.</t>
  </si>
  <si>
    <t xml:space="preserve">Exam #2 (Outcomes 3-4: LD advanced, FBD)</t>
  </si>
  <si>
    <t xml:space="preserve">2026-11-10</t>
  </si>
  <si>
    <t xml:space="preserve">172,173,174,175,176,177,178,179,180,181,182,183,184,185,186,187,188</t>
  </si>
  <si>
    <t xml:space="preserve">Weekly schedule: week 11 (Nov 9-13; no classes Nov 11-13 so likely Mon/Tue). Evaluation table says TBD. Confirm.</t>
  </si>
  <si>
    <t xml:space="preserve">Practical In-Lab Assessment #2 (FBD, SFC, ST)</t>
  </si>
  <si>
    <t xml:space="preserve">2026-12-03</t>
  </si>
  <si>
    <t xml:space="preserve">180,181,182,183,184,185,186,187,188,189,190,191,192,193,194,195,196,197,198,199,200,201,202</t>
  </si>
  <si>
    <t xml:space="preserve">Week 14. Second X02 session Fri Dec 4.</t>
  </si>
  <si>
    <t xml:space="preserve">Exam #3 (Outcomes 5-7: ST, SFC)</t>
  </si>
  <si>
    <t xml:space="preserve">2026-12-08</t>
  </si>
  <si>
    <t xml:space="preserve">189,190,191,192,193,194,195,196,197,198,199,200,201,202</t>
  </si>
  <si>
    <t xml:space="preserve">Weekly schedule: week 15 (Dec 7-11). Evaluation table says TBD. Confirm.</t>
  </si>
  <si>
    <t xml:space="preserve">Quiz</t>
  </si>
  <si>
    <t xml:space="preserve">Brightspace Orientation Questions (before first in-person lab)</t>
  </si>
  <si>
    <t xml:space="preserve">2026-09-08</t>
  </si>
  <si>
    <t xml:space="preserve">13:45</t>
  </si>
  <si>
    <t xml:space="preserve">Brightspace</t>
  </si>
  <si>
    <t xml:space="preserve">241,242,243,244,245,246,247</t>
  </si>
  <si>
    <t xml:space="preserve">Required before first lab (F2025 lab syllabus). If your first lab was Sep 1, mark Submitted.</t>
  </si>
  <si>
    <t xml:space="preserve">prelab_id</t>
  </si>
  <si>
    <t xml:space="preserve">lab_number</t>
  </si>
  <si>
    <t xml:space="preserve">lab_type</t>
  </si>
  <si>
    <t xml:space="preserve">lab_date</t>
  </si>
  <si>
    <t xml:space="preserve">lab_time</t>
  </si>
  <si>
    <t xml:space="preserve">room</t>
  </si>
  <si>
    <t xml:space="preserve">prelab_due</t>
  </si>
  <si>
    <t xml:space="preserve">checklist</t>
  </si>
  <si>
    <t xml:space="preserve">completed</t>
  </si>
  <si>
    <t xml:space="preserve">completed_on</t>
  </si>
  <si>
    <t xml:space="preserve">Lab 1 - Introduction to Serial Data Communication (RS-232, break-out box, oscilloscope frames, null-modem, radio modems)</t>
  </si>
  <si>
    <t xml:space="preserve">Common</t>
  </si>
  <si>
    <t xml:space="preserve">2026-09-04</t>
  </si>
  <si>
    <t xml:space="preserve">Y237</t>
  </si>
  <si>
    <t xml:space="preserve">2026-09-03</t>
  </si>
  <si>
    <t xml:space="preserve">[ ] Read the lab section in CP#1400|[ ] Answer pre-lab questions in the lab (if any)|[ ] Bring memory stick</t>
  </si>
  <si>
    <t xml:space="preserve">coursepacks/CMTC2341/Content/CP#1400 - CMTC 2341.pdf#page=183</t>
  </si>
  <si>
    <t xml:space="preserve">FALSE</t>
  </si>
  <si>
    <t xml:space="preserve">Pre-lab questions on CP#1400 p215. INFERRED lab-to-date mapping (portal X02 dates; syllabus lab list in order). Confirm on Brightspace.</t>
  </si>
  <si>
    <t xml:space="preserve">Lab 2 - DGH Smart Transmitters (RS-232 commands, checksums, daisy-chain network)</t>
  </si>
  <si>
    <t xml:space="preserve">2026-09-18</t>
  </si>
  <si>
    <t xml:space="preserve">2026-09-17</t>
  </si>
  <si>
    <t xml:space="preserve">coursepacks/CMTC2341/Content/CP#1400 - CMTC 2341.pdf#page=221</t>
  </si>
  <si>
    <t xml:space="preserve">Pre-lab table on CP#1400 p223. INFERRED lab-to-date mapping (portal X02 dates; syllabus lab list in order). Confirm on Brightspace.</t>
  </si>
  <si>
    <t xml:space="preserve">Lab 3 - Ethernet Cables and Remote Connectivity</t>
  </si>
  <si>
    <t xml:space="preserve">2026-10-02</t>
  </si>
  <si>
    <t xml:space="preserve">2026-10-01</t>
  </si>
  <si>
    <t xml:space="preserve">coursepacks/CMTC2341/Content/CP#1400 - CMTC 2341.pdf#page=249</t>
  </si>
  <si>
    <t xml:space="preserve">INFERRED lab-to-date mapping (portal X02 dates; syllabus lab list in order). Confirm on Brightspace.</t>
  </si>
  <si>
    <t xml:space="preserve">Lab 4 - Network Devices (hubs/switches/routers, ping, telnet)</t>
  </si>
  <si>
    <t xml:space="preserve">2026-10-16</t>
  </si>
  <si>
    <t xml:space="preserve">2026-10-15</t>
  </si>
  <si>
    <t xml:space="preserve">coursepacks/CMTC2341/Content/CP#1400 - CMTC 2341.pdf#page=261</t>
  </si>
  <si>
    <t xml:space="preserve">Pre-lab questions on CP#1400 p263. INFERRED lab-to-date mapping (portal X02 dates; syllabus lab list in order). Confirm on Brightspace.</t>
  </si>
  <si>
    <t xml:space="preserve">Lab 5 - Ethernet Networks - Packet Tracer / Wireshark</t>
  </si>
  <si>
    <t xml:space="preserve">2026-10-30</t>
  </si>
  <si>
    <t xml:space="preserve">2026-10-29</t>
  </si>
  <si>
    <t xml:space="preserve">coursepacks/CMTC2341/Content/CP#1400 - CMTC 2341.pdf#page=277</t>
  </si>
  <si>
    <t xml:space="preserve">Pre-Lab Work on CP#1400 p280. INFERRED lab-to-date mapping (portal X02 dates; syllabus lab list in order). Confirm on Brightspace.</t>
  </si>
  <si>
    <t xml:space="preserve">Lab 6 - Quantum PLC Intro (Modicon / Unity)</t>
  </si>
  <si>
    <t xml:space="preserve">2026-11-27</t>
  </si>
  <si>
    <t xml:space="preserve">2026-11-26</t>
  </si>
  <si>
    <t xml:space="preserve">coursepacks/CMTC2341/Content/CP#1400 - CMTC 2341.pdf#page=289</t>
  </si>
  <si>
    <t xml:space="preserve">Lab 7 - Wireless Transmitters / Firewalls (Cisco PT) - Modbus TCP</t>
  </si>
  <si>
    <t xml:space="preserve">2026-12-10</t>
  </si>
  <si>
    <t xml:space="preserve">coursepacks/CMTC2341/Content/CP#1400 - CMTC 2341.pdf#page=301</t>
  </si>
  <si>
    <t xml:space="preserve">Pre-Lab Work on CP#1400 p303. INFERRED lab-to-date mapping (portal X02 dates; syllabus lab list in order). Confirm on Brightspace.</t>
  </si>
  <si>
    <t xml:space="preserve">-</t>
  </si>
  <si>
    <t xml:space="preserve">NO LAB - Fall Break (X02 session lost per syllabus)</t>
  </si>
  <si>
    <t xml:space="preserve">None</t>
  </si>
  <si>
    <t xml:space="preserve">2026-11-13</t>
  </si>
  <si>
    <t xml:space="preserve">2026-11-12</t>
  </si>
  <si>
    <t xml:space="preserve">TRUE</t>
  </si>
  <si>
    <t xml:space="preserve">Intro</t>
  </si>
  <si>
    <t xml:space="preserve">Lab Introduction and Familiarization</t>
  </si>
  <si>
    <t xml:space="preserve">2026-09-01</t>
  </si>
  <si>
    <t xml:space="preserve">2026-08-31</t>
  </si>
  <si>
    <t xml:space="preserve">[ ] Read the lab Theory section|[ ] Answer LABORATORY PREPARATION questions (individually)|[ ] Print/bring Results sheet|[ ] Safety glasses, closed-toe shoes, instrument screwdriver</t>
  </si>
  <si>
    <t xml:space="preserve">Week 1 (already happened - tick if done)</t>
  </si>
  <si>
    <t xml:space="preserve">01C</t>
  </si>
  <si>
    <t xml:space="preserve">Siemens PAC 353 Configuration II</t>
  </si>
  <si>
    <t xml:space="preserve">2026-09-07</t>
  </si>
  <si>
    <t xml:space="preserve">Pre-lab = 'Laboratory Preparation' PDF (16 questions on SETPT/PID/A/M/ODC/AOUT1 blocks)</t>
  </si>
  <si>
    <t xml:space="preserve">02C</t>
  </si>
  <si>
    <t xml:space="preserve">Siemens PAC 353 Operation</t>
  </si>
  <si>
    <t xml:space="preserve">2026-09-15</t>
  </si>
  <si>
    <t xml:space="preserve">2026-09-14</t>
  </si>
  <si>
    <t xml:space="preserve">03C</t>
  </si>
  <si>
    <t xml:space="preserve">Plant Characteristics I (The 3 Basic Plants)</t>
  </si>
  <si>
    <t xml:space="preserve">2026-09-22</t>
  </si>
  <si>
    <t xml:space="preserve">2026-09-21</t>
  </si>
  <si>
    <t xml:space="preserve">04C</t>
  </si>
  <si>
    <t xml:space="preserve">Plant Characteristics II (Multicapacity Plants)</t>
  </si>
  <si>
    <t xml:space="preserve">PILA1</t>
  </si>
  <si>
    <t xml:space="preserve">Practical In-Lab Assessment 1 (7.5%)</t>
  </si>
  <si>
    <t xml:space="preserve">Assessment</t>
  </si>
  <si>
    <t xml:space="preserve">2026-10-05</t>
  </si>
  <si>
    <t xml:space="preserve">Review Labs 01-04; 50 min; see Assessments</t>
  </si>
  <si>
    <t xml:space="preserve">05C</t>
  </si>
  <si>
    <t xml:space="preserve">Control Loop Stability</t>
  </si>
  <si>
    <t xml:space="preserve">2026-10-13</t>
  </si>
  <si>
    <t xml:space="preserve">2026-10-12</t>
  </si>
  <si>
    <t xml:space="preserve">Week 7 (Mon Oct 12 Thanksgiving; Tue lab runs per syllabus)</t>
  </si>
  <si>
    <t xml:space="preserve">06C</t>
  </si>
  <si>
    <t xml:space="preserve">Trial and Error Tuning Methods</t>
  </si>
  <si>
    <t xml:space="preserve">2026-10-20</t>
  </si>
  <si>
    <t xml:space="preserve">Syllabus row says 'Lab 06 - Control Loop Stability' but Lab 06 = Trial and Error Tuning</t>
  </si>
  <si>
    <t xml:space="preserve">07C</t>
  </si>
  <si>
    <t xml:space="preserve">Ziegler-Nichols Tuning Methods</t>
  </si>
  <si>
    <t xml:space="preserve">2026-10-26</t>
  </si>
  <si>
    <t xml:space="preserve">PILA2</t>
  </si>
  <si>
    <t xml:space="preserve">Practical In-Lab Assessment 2 (7.5%)</t>
  </si>
  <si>
    <t xml:space="preserve">Review Labs 05-07; see Assessments</t>
  </si>
  <si>
    <t xml:space="preserve">NO LAB (X01/X02) - Remembrance Day / Fall Break week</t>
  </si>
  <si>
    <t xml:space="preserve">2026-11-09</t>
  </si>
  <si>
    <t xml:space="preserve">No lab this week</t>
  </si>
  <si>
    <t xml:space="preserve">08R1/09R1/10R1</t>
  </si>
  <si>
    <t xml:space="preserve">Rotational lab - HE Station / Mixing Station / Pressure Vessel (order per Brightspace)</t>
  </si>
  <si>
    <t xml:space="preserve">Rotational</t>
  </si>
  <si>
    <t xml:space="preserve">2026-11-17</t>
  </si>
  <si>
    <t xml:space="preserve">2026-11-16</t>
  </si>
  <si>
    <t xml:space="preserve">coursepacks/CNTR2371_LAB</t>
  </si>
  <si>
    <t xml:space="preserve">Rotation order not in export - check Brightspace. Prep the one you're assigned.</t>
  </si>
  <si>
    <t xml:space="preserve">2026-11-24</t>
  </si>
  <si>
    <t xml:space="preserve">2026-11-23</t>
  </si>
  <si>
    <t xml:space="preserve">2026-12-01</t>
  </si>
  <si>
    <t xml:space="preserve">2026-11-30</t>
  </si>
  <si>
    <t xml:space="preserve">11C</t>
  </si>
  <si>
    <t xml:space="preserve">Plant Frequency Response (Multicapacity Plants)</t>
  </si>
  <si>
    <t xml:space="preserve">2026-12-07</t>
  </si>
  <si>
    <t xml:space="preserve">Pre-lab = 'Laboratory Preparation' PDF</t>
  </si>
  <si>
    <t xml:space="preserve">Review of Wiring Practices and Troubleshooting</t>
  </si>
  <si>
    <t xml:space="preserve">2026-09-13</t>
  </si>
  <si>
    <t xml:space="preserve">[ ] Read lab theory + manufacturer manual|[ ] Complete LABORATORY PREPARATION questions|[ ] Safety glasses, closed-toe shoes</t>
  </si>
  <si>
    <t xml:space="preserve">INFERRED sequence: X02 has no Monday session in wk1/wk2 (term starts Tue; Labour Day). Confirm on Brightspace.</t>
  </si>
  <si>
    <t xml:space="preserve">Fluke 754 Documenting Calibrator &amp; AMS Device Manager</t>
  </si>
  <si>
    <t xml:space="preserve">2026-09-20</t>
  </si>
  <si>
    <t xml:space="preserve">Has Laboratory Preparation questions</t>
  </si>
  <si>
    <t xml:space="preserve">Analog and Smart Pressure Transmitter Calibration</t>
  </si>
  <si>
    <t xml:space="preserve">2026-09-27</t>
  </si>
  <si>
    <t xml:space="preserve">Turbine Flow Meter with MC-III Totalizer</t>
  </si>
  <si>
    <t xml:space="preserve">2026-10-04</t>
  </si>
  <si>
    <t xml:space="preserve">Pre-lab: K-factor calculation etc. (Laboratory Preparation)</t>
  </si>
  <si>
    <t xml:space="preserve">NO LAB - Thanksgiving</t>
  </si>
  <si>
    <t xml:space="preserve">2026-10-11</t>
  </si>
  <si>
    <t xml:space="preserve">PA1</t>
  </si>
  <si>
    <t xml:space="preserve">Lab Practical Assessment #1 on Labs 1-4 (7%)</t>
  </si>
  <si>
    <t xml:space="preserve">2026-10-18</t>
  </si>
  <si>
    <t xml:space="preserve">INFERRED date - syllabus says ~week 7; check Brightspace lab exam schedule</t>
  </si>
  <si>
    <t xml:space="preserve">05R-10R</t>
  </si>
  <si>
    <t xml:space="preserve">Rotational lab (Radar TG / Vortex+Ultrasonic / Magnetic / Coriolis / Gas flow run / Tank gauging) - bench per Brightspace</t>
  </si>
  <si>
    <t xml:space="preserve">2026-10-25</t>
  </si>
  <si>
    <t xml:space="preserve">coursepacks/INST2310</t>
  </si>
  <si>
    <t xml:space="preserve">Rotation order not in export. Most rotation labs have Laboratory Preparation questions.</t>
  </si>
  <si>
    <t xml:space="preserve">2026-11-01</t>
  </si>
  <si>
    <t xml:space="preserve">2026-11-08</t>
  </si>
  <si>
    <t xml:space="preserve">2026-11-15</t>
  </si>
  <si>
    <t xml:space="preserve">2026-11-22</t>
  </si>
  <si>
    <t xml:space="preserve">2026-11-29</t>
  </si>
  <si>
    <t xml:space="preserve">Practice / catch-up (syllabus wk 14 PRACTICE)</t>
  </si>
  <si>
    <t xml:space="preserve">Practice</t>
  </si>
  <si>
    <t xml:space="preserve">2026-12-06</t>
  </si>
  <si>
    <t xml:space="preserve">PA2</t>
  </si>
  <si>
    <t xml:space="preserve">Lab Practical Assessment #2 on Labs 5-10 (8%)</t>
  </si>
  <si>
    <t xml:space="preserve">2026-12-13</t>
  </si>
  <si>
    <t xml:space="preserve">INFERRED - syllabus says ~week 15; check Brightspace lab exam schedule</t>
  </si>
  <si>
    <t xml:space="preserve">CompactLogix PLC Hardware Intro and Software Template</t>
  </si>
  <si>
    <t xml:space="preserve">Weekly</t>
  </si>
  <si>
    <t xml:space="preserve">2026-09-02</t>
  </si>
  <si>
    <t xml:space="preserve">[ ] Draft the pre-lab logic (LD/FBD/ST) on engineering paper - worth &gt;=30% of lab mark|[ ] Answer pre-lab questions|[ ] Bring USB stick / project template</t>
  </si>
  <si>
    <t xml:space="preserve">Week 1</t>
  </si>
  <si>
    <t xml:space="preserve">CompactLogix PLC Wiring and Relays</t>
  </si>
  <si>
    <t xml:space="preserve">2026-09-10</t>
  </si>
  <si>
    <t xml:space="preserve">2026-09-09</t>
  </si>
  <si>
    <t xml:space="preserve">Week 2. Extra X02 session Fri Sep 11 08:00</t>
  </si>
  <si>
    <t xml:space="preserve">3+4</t>
  </si>
  <si>
    <t xml:space="preserve">LD Discrete 1 &amp; LD Discrete 2</t>
  </si>
  <si>
    <t xml:space="preserve">2026-09-16</t>
  </si>
  <si>
    <t xml:space="preserve">Week 3. Pre-lab: draft ladder logic for Ex 3 &amp; 4 (Lab 3). Lab 4 file: coursepacks/INST2340/10 - Lab 4 - CompactLogix_LD_Discrete_2.pdf</t>
  </si>
  <si>
    <t xml:space="preserve">LD Discrete 3</t>
  </si>
  <si>
    <t xml:space="preserve">2026-09-24</t>
  </si>
  <si>
    <t xml:space="preserve">Week 4. Extra X02 session Fri Sep 25 08:00</t>
  </si>
  <si>
    <t xml:space="preserve">6+7</t>
  </si>
  <si>
    <t xml:space="preserve">LD Timers &amp; LD Counters</t>
  </si>
  <si>
    <t xml:space="preserve">2026-09-30</t>
  </si>
  <si>
    <t xml:space="preserve">Week 5 (Exam #1 week). Lab 7 file: coursepacks/INST2340/Lab 7 - CompactLogix_LD_Counters (new).pdf</t>
  </si>
  <si>
    <t xml:space="preserve">8</t>
  </si>
  <si>
    <t xml:space="preserve">LD Move/Compare</t>
  </si>
  <si>
    <t xml:space="preserve">2026-10-08</t>
  </si>
  <si>
    <t xml:space="preserve">2026-10-07</t>
  </si>
  <si>
    <t xml:space="preserve">Week 6. Extra X02 session Fri Oct 9 08:00. Section 3.7 worksheet is the basis.</t>
  </si>
  <si>
    <t xml:space="preserve">9</t>
  </si>
  <si>
    <t xml:space="preserve">LD JSR/SBR/RET</t>
  </si>
  <si>
    <t xml:space="preserve">Week 7. Lab project info given this week.</t>
  </si>
  <si>
    <t xml:space="preserve">2026-10-21</t>
  </si>
  <si>
    <t xml:space="preserve">Week 8. Extra X02 session Fri Oct 23. Review Labs 1-9.</t>
  </si>
  <si>
    <t xml:space="preserve">11</t>
  </si>
  <si>
    <t xml:space="preserve">Lab Project Overview + FBD Discrete I/O</t>
  </si>
  <si>
    <t xml:space="preserve">2026-10-28</t>
  </si>
  <si>
    <t xml:space="preserve">Week 9. Project milestones announced.</t>
  </si>
  <si>
    <t xml:space="preserve">12</t>
  </si>
  <si>
    <t xml:space="preserve">FBD Timers &amp; Counters</t>
  </si>
  <si>
    <t xml:space="preserve">2026-11-05</t>
  </si>
  <si>
    <t xml:space="preserve">2026-11-04</t>
  </si>
  <si>
    <t xml:space="preserve">Week 10. Extra X02 session Fri Nov 6 08:00</t>
  </si>
  <si>
    <t xml:space="preserve">13</t>
  </si>
  <si>
    <t xml:space="preserve">FBD Analog I/O (syllabus lists 'Lab#13 FBD Analog IO - ST')</t>
  </si>
  <si>
    <t xml:space="preserve">2026-11-11</t>
  </si>
  <si>
    <t xml:space="preserve">Week 11 - Thu Nov 12 is inside Nov 11-13 no-class days: X02 Thursday lab probably lost/moved. Confirm.</t>
  </si>
  <si>
    <t xml:space="preserve">15</t>
  </si>
  <si>
    <t xml:space="preserve">ST Discrete</t>
  </si>
  <si>
    <t xml:space="preserve">2026-11-19</t>
  </si>
  <si>
    <t xml:space="preserve">2026-11-18</t>
  </si>
  <si>
    <t xml:space="preserve">Week 12. Extra X02 session Fri Nov 20 08:00. Exam #2 week before.</t>
  </si>
  <si>
    <t xml:space="preserve">17+18</t>
  </si>
  <si>
    <t xml:space="preserve">SFC Linear &amp; SFC Branching</t>
  </si>
  <si>
    <t xml:space="preserve">2026-11-25</t>
  </si>
  <si>
    <t xml:space="preserve">Week 13. Lab 18 file: coursepacks/INST2340/24 - Lab 18 - CompactLogix_SFC_Branching.pdf</t>
  </si>
  <si>
    <t xml:space="preserve">2026-12-02</t>
  </si>
  <si>
    <t xml:space="preserve">Week 14. Extra X02 session Fri Dec 4. Review Labs 11-18.</t>
  </si>
  <si>
    <t xml:space="preserve">Lab Project time</t>
  </si>
  <si>
    <t xml:space="preserve">Week 15. Also needs Lab 19 Node-RED + Lab 20 MQTT.</t>
  </si>
  <si>
    <t xml:space="preserve">Lab 1 Excel - Introduction</t>
  </si>
  <si>
    <t xml:space="preserve">14:00</t>
  </si>
  <si>
    <t xml:space="preserve">Y105</t>
  </si>
  <si>
    <t xml:space="preserve">[ ] Read the lab tutorial|[ ] Bring files/USB from previous lab</t>
  </si>
  <si>
    <t xml:space="preserve">INFERRED order from Course Overview lab list (no lab schedule in export). Lab files NOT in export.</t>
  </si>
  <si>
    <t xml:space="preserve">Lab 2 SmartSketch PFD Tutorial</t>
  </si>
  <si>
    <t xml:space="preserve">Lab 3 Excel Material Balance Sheet</t>
  </si>
  <si>
    <t xml:space="preserve">Lab 4 SmartSketch PID Tutorial</t>
  </si>
  <si>
    <t xml:space="preserve">Lab 5 SmartSketch Loop Drawing Tutorial</t>
  </si>
  <si>
    <t xml:space="preserve">Lab 6 Microsoft Project - Introduction</t>
  </si>
  <si>
    <t xml:space="preserve">Lab 7 Microsoft Project - Level Project</t>
  </si>
  <si>
    <t xml:space="preserve">Lab 8 Excel - Project Cost</t>
  </si>
  <si>
    <t xml:space="preserve">8-02</t>
  </si>
  <si>
    <t xml:space="preserve">Lab 8-02 Component Costs</t>
  </si>
  <si>
    <t xml:space="preserve">Lab 9 Control Valve Sizing - Excel</t>
  </si>
  <si>
    <t xml:space="preserve">10</t>
  </si>
  <si>
    <t xml:space="preserve">Lab 10 Control Valve Sizing - Fisher</t>
  </si>
  <si>
    <t xml:space="preserve">Lab 11 AutoCAD / Visio Overview</t>
  </si>
  <si>
    <t xml:space="preserve">NO LAB - National Day for Truth and Reconciliation</t>
  </si>
  <si>
    <t xml:space="preserve">NO LAB - Remembrance Day</t>
  </si>
  <si>
    <t xml:space="preserve">Catch-up / free (inferred)</t>
  </si>
  <si>
    <t xml:space="preserve">Orient</t>
  </si>
  <si>
    <t xml:space="preserve">Lab Orientation (PPE, SDS, cylinders, regulators, rotameters)</t>
  </si>
  <si>
    <t xml:space="preserve">Y131</t>
  </si>
  <si>
    <t xml:space="preserve">[ ] Read lab project intro + hazard assessment page|[ ] Brightspace pre-lab quiz &gt;=50% done &gt;=15 min before lab (first attempt counts, 2 h max)|[ ] Lab coat, safety glasses, long pants, closed-toe shoes</t>
  </si>
  <si>
    <t xml:space="preserve">Orientation Questions on Brightspace BEFORE first in-person lab. If your first lab was Sep 1, adjust this row.</t>
  </si>
  <si>
    <t xml:space="preserve">Rot</t>
  </si>
  <si>
    <t xml:space="preserve">Analyzer lab - rotation bench per Brightspace (1st rotation: Conductivity / pH / Combustible IR / Combustible Catalytic / Gas Mixtures / Flame &amp; Smoke)</t>
  </si>
  <si>
    <t xml:space="preserve">coursepacks/INST2380</t>
  </si>
  <si>
    <t xml:space="preserve">Rename to the assigned project once the bench schedule is posted. Pre-lab quiz due 13:45 (15 min before).</t>
  </si>
  <si>
    <t xml:space="preserve">schedule_id</t>
  </si>
  <si>
    <t xml:space="preserve">day_of_week</t>
  </si>
  <si>
    <t xml:space="preserve">start_time</t>
  </si>
  <si>
    <t xml:space="preserve">end_time</t>
  </si>
  <si>
    <t xml:space="preserve">dates</t>
  </si>
  <si>
    <t xml:space="preserve">Lecture</t>
  </si>
  <si>
    <t xml:space="preserve">Monday</t>
  </si>
  <si>
    <t xml:space="preserve">10:00</t>
  </si>
  <si>
    <t xml:space="preserve">10:50</t>
  </si>
  <si>
    <t xml:space="preserve">Y220</t>
  </si>
  <si>
    <t xml:space="preserve">Thursday</t>
  </si>
  <si>
    <t xml:space="preserve">14:50</t>
  </si>
  <si>
    <t xml:space="preserve">Y231</t>
  </si>
  <si>
    <t xml:space="preserve">Friday</t>
  </si>
  <si>
    <t xml:space="preserve">11:00</t>
  </si>
  <si>
    <t xml:space="preserve">11:50</t>
  </si>
  <si>
    <t xml:space="preserve">Y202</t>
  </si>
  <si>
    <t xml:space="preserve">09:50</t>
  </si>
  <si>
    <t xml:space="preserve">2026-09-04,2026-09-18,2026-10-02,2026-10-16,2026-10-30,2026-11-13,2026-11-27,2026-12-11</t>
  </si>
  <si>
    <t xml:space="preserve">Tuesday</t>
  </si>
  <si>
    <t xml:space="preserve">Wednesday</t>
  </si>
  <si>
    <t xml:space="preserve">12:00</t>
  </si>
  <si>
    <t xml:space="preserve">12:50</t>
  </si>
  <si>
    <t xml:space="preserve">13:00</t>
  </si>
  <si>
    <t xml:space="preserve">13:50</t>
  </si>
  <si>
    <t xml:space="preserve">Y233</t>
  </si>
  <si>
    <t xml:space="preserve">15:00</t>
  </si>
  <si>
    <t xml:space="preserve">15:50</t>
  </si>
  <si>
    <t xml:space="preserve">2026-09-11,2026-09-25,2026-10-09,2026-10-23,2026-11-06,2026-11-20,2026-12-04</t>
  </si>
  <si>
    <t xml:space="preserve">WC312</t>
  </si>
  <si>
    <t xml:space="preserve">16:00</t>
  </si>
  <si>
    <t xml:space="preserve">16:50</t>
  </si>
  <si>
    <t xml:space="preserve">date</t>
  </si>
  <si>
    <t xml:space="preserve">classes_cancelled</t>
  </si>
  <si>
    <t xml:space="preserve">Labour Day</t>
  </si>
  <si>
    <t xml:space="preserve">National Day for Truth and Reconciliation</t>
  </si>
  <si>
    <t xml:space="preserve">Thanksgiving Day</t>
  </si>
  <si>
    <t xml:space="preserve">Remembrance Day</t>
  </si>
  <si>
    <t xml:space="preserve">Fall Break</t>
  </si>
  <si>
    <t xml:space="preserve">flag_id</t>
  </si>
  <si>
    <t xml:space="preserve">item</t>
  </si>
  <si>
    <t xml:space="preserve">issue</t>
  </si>
  <si>
    <t xml:space="preserve">source</t>
  </si>
  <si>
    <t xml:space="preserve">resolved</t>
  </si>
  <si>
    <t xml:space="preserve">CMTC2341 Theory Assessment #1 date</t>
  </si>
  <si>
    <t xml:space="preserve">Weekly schedule: week 6 (Oct 5-9). Evaluation table: 'Week of September 23rd (Week 4)'. Tracker uses Sep 23.</t>
  </si>
  <si>
    <t xml:space="preserve">Course Syllabus CMTC2341 Fall 2026 B.pdf p3-4</t>
  </si>
  <si>
    <t xml:space="preserve">CMTC2341 Theory Assessment #2 date</t>
  </si>
  <si>
    <t xml:space="preserve">Weekly schedule: week 10 (Nov 2-6). Evaluation table: 'Week of October 14th'. Tracker uses Oct 14.</t>
  </si>
  <si>
    <t xml:space="preserve">same</t>
  </si>
  <si>
    <t xml:space="preserve">CMTC2341 X02 lab-to-date mapping</t>
  </si>
  <si>
    <t xml:space="preserve">Portal gives X02 Friday dates (Sep 4, 18, Oct 2, 16, 30, Nov 13, 27, Dec 11). Syllabus lists 7 labs and says Nov 13 sessions are lost. Labs 1-7 assigned in order - INFERRED.</t>
  </si>
  <si>
    <t xml:space="preserve">SCHEDULE.pdf + syllabus</t>
  </si>
  <si>
    <t xml:space="preserve">CMTC2341 syllabus typo</t>
  </si>
  <si>
    <t xml:space="preserve">Week 2 says 'No Class on Monday, Sep. 1 - Labour Day' - Labour Day is Mon Sep 7.</t>
  </si>
  <si>
    <t xml:space="preserve">syllabus p3</t>
  </si>
  <si>
    <t xml:space="preserve">CNTR2371 Theory Assessment 2 date</t>
  </si>
  <si>
    <t xml:space="preserve">Evaluation table: week 9. Weekly schedule prints it under the Nov 2 (week 10) row. Tracker uses Oct 27.</t>
  </si>
  <si>
    <t xml:space="preserve">CNTR 2371 Syllabus p3-5</t>
  </si>
  <si>
    <t xml:space="preserve">CNTR2371 Practical In-Lab Assessments</t>
  </si>
  <si>
    <t xml:space="preserve">Evaluation table says 'Week 5 or 6' / 'Week 9 or 10'; weekly schedule puts X01/X02 in wk 6 (Oct 6) and wk 10 (Nov 3).</t>
  </si>
  <si>
    <t xml:space="preserve">CNTR2371 rotational lab order (Labs 08R1/09R1/10R1)</t>
  </si>
  <si>
    <t xml:space="preserve">Order for Nov 17 / Nov 24 / Dec 1 not in export.</t>
  </si>
  <si>
    <t xml:space="preserve">syllabus</t>
  </si>
  <si>
    <t xml:space="preserve">CNTR2371 week 13/14 stray text</t>
  </si>
  <si>
    <t xml:space="preserve">Syllabus mentions Good Friday / Easter Monday in Nov - copy-paste from winter term; ignore.</t>
  </si>
  <si>
    <t xml:space="preserve">syllabus p4</t>
  </si>
  <si>
    <t xml:space="preserve">INST2310 X02 lab dates</t>
  </si>
  <si>
    <t xml:space="preserve">X02 labs are Mondays; no Monday in week 1 and Sep 7 / Oct 12 are holidays. Lab sequence in tracker is INFERRED (Lab 01 on Sep 14 ...). Confirm on Brightspace.</t>
  </si>
  <si>
    <t xml:space="preserve">SCHEDULE.pdf + INST2310 syllabus</t>
  </si>
  <si>
    <t xml:space="preserve">INST2310 practical assessment dates</t>
  </si>
  <si>
    <t xml:space="preserve">Syllabus: ~week 7 and ~week 15 'see Brightspace lab exam schedule for your section'.</t>
  </si>
  <si>
    <t xml:space="preserve">INST2310 syllabus</t>
  </si>
  <si>
    <t xml:space="preserve">INST2310 midterm/final exact days</t>
  </si>
  <si>
    <t xml:space="preserve">Only 'week of' given (Sep 28, Nov 2, Dec 14).</t>
  </si>
  <si>
    <t xml:space="preserve">INST2340 exam dates</t>
  </si>
  <si>
    <t xml:space="preserve">Weekly schedule: Exam 1 wk 5, Exam 2 wk 11, Exam 3 wk 15. Evaluation table: TBD. Nov 11-13 no classes affects wk 11.</t>
  </si>
  <si>
    <t xml:space="preserve">INST2340 syllabus</t>
  </si>
  <si>
    <t xml:space="preserve">INST2340 lab project</t>
  </si>
  <si>
    <t xml:space="preserve">Info in week 7, overview week 9, milestone deadlines announced by instructor - add them to Assessments when given.</t>
  </si>
  <si>
    <t xml:space="preserve">INST2340 syllabus p2-3</t>
  </si>
  <si>
    <t xml:space="preserve">INST2340 week 11 X02 Thursday lab</t>
  </si>
  <si>
    <t xml:space="preserve">Thu Nov 12 falls inside the Nov 11-13 no-class days; syllabus note only mentions theory sessions lost. Confirm.</t>
  </si>
  <si>
    <t xml:space="preserve">INST2340 labs not on weekly schedule</t>
  </si>
  <si>
    <t xml:space="preserve">Labs 14 (FBD AOI), 16 (ST JSR), 19 (Node-RED), 20 (MQTT) are in the coursepack but not on the weekly schedule; 19-20 are needed for the project.</t>
  </si>
  <si>
    <t xml:space="preserve">coursepack</t>
  </si>
  <si>
    <t xml:space="preserve">INST2361 syllabus missing</t>
  </si>
  <si>
    <t xml:space="preserve">No syllabus/evaluation table in export - GradeWeights rows are PLACEHOLDERS (80/20). Instructor unknown.</t>
  </si>
  <si>
    <t xml:space="preserve">export</t>
  </si>
  <si>
    <t xml:space="preserve">INST2361 missing sections</t>
  </si>
  <si>
    <t xml:space="preserve">Section 6 (Natural Gas) and Section 7 (Oil Refinery &amp; Oil Sands) PDFs and all lab files are not in the export.</t>
  </si>
  <si>
    <t xml:space="preserve">Course Overview section list</t>
  </si>
  <si>
    <t xml:space="preserve">INST2361 lab order</t>
  </si>
  <si>
    <t xml:space="preserve">Lab dates in tracker are INFERRED from the Course Overview lab list mapped to X02 Wednesdays.</t>
  </si>
  <si>
    <t xml:space="preserve">INST2380 lab syllabus is F2025</t>
  </si>
  <si>
    <t xml:space="preserve">Lab syllabus in export is Fall 2025 (Melody Dalley). Confirm nothing changed for Fall 2026.</t>
  </si>
  <si>
    <t xml:space="preserve">INST2380 Lab Syllabus F2025.pdf</t>
  </si>
  <si>
    <t xml:space="preserve">INST2380 theory weights missing</t>
  </si>
  <si>
    <t xml:space="preserve">No theory syllabus/evaluation table in export; only Lab = 20%. Theory GradeWeights row is a PLACEHOLDER.</t>
  </si>
  <si>
    <t xml:space="preserve">INST2380 bench rotation</t>
  </si>
  <si>
    <t xml:space="preserve">Rotation schedule is posted on Brightspace; tracker has generic weekly rows to rename.</t>
  </si>
  <si>
    <t xml:space="preserve">Lab syllabus</t>
  </si>
  <si>
    <t xml:space="preserve">INST2380 ILMs</t>
  </si>
  <si>
    <t xml:space="preserve">Theory relies on Alberta Apprenticeship Individual Learning Modules that are not in the export.</t>
  </si>
  <si>
    <t xml:space="preserve">Course Pack 1.pdf p1</t>
  </si>
  <si>
    <t xml:space="preserve">goal_id</t>
  </si>
  <si>
    <t xml:space="preserve">scope</t>
  </si>
  <si>
    <t xml:space="preserve">description</t>
  </si>
  <si>
    <t xml:space="preserve">metric</t>
  </si>
  <si>
    <t xml:space="preserve">target_value</t>
  </si>
  <si>
    <t xml:space="preserve">current_value</t>
  </si>
  <si>
    <t xml:space="preserve">start_date</t>
  </si>
  <si>
    <t xml:space="preserve">end_date</t>
  </si>
  <si>
    <t xml:space="preserve">Self-directed study 20 h/week (NAIT guideline ~9 h/course incl. class; 6 courses)</t>
  </si>
  <si>
    <t xml:space="preserve">study_hours_per_week</t>
  </si>
  <si>
    <t xml:space="preserve">2026-12-16</t>
  </si>
  <si>
    <t xml:space="preserve">Active</t>
  </si>
  <si>
    <t xml:space="preserve">Semester</t>
  </si>
  <si>
    <t xml:space="preserve">Every pre-lab done the day before the lab</t>
  </si>
  <si>
    <t xml:space="preserve">prelabs_on_time_pct</t>
  </si>
  <si>
    <t xml:space="preserve">Study streak of 30 days</t>
  </si>
  <si>
    <t xml:space="preserve">streak_days</t>
  </si>
  <si>
    <t xml:space="preserve">Course</t>
  </si>
  <si>
    <t xml:space="preserve">CNTR2371 &gt;= 80%</t>
  </si>
  <si>
    <t xml:space="preserve">grade_at_least</t>
  </si>
  <si>
    <t xml:space="preserve">INST2340 &gt;= 80%</t>
  </si>
  <si>
    <t xml:space="preserve">question_id</t>
  </si>
  <si>
    <t xml:space="preserve">question_type</t>
  </si>
  <si>
    <t xml:space="preserve">question_text</t>
  </si>
  <si>
    <t xml:space="preserve">options</t>
  </si>
  <si>
    <t xml:space="preserve">answer_text</t>
  </si>
  <si>
    <t xml:space="preserve">explanation</t>
  </si>
  <si>
    <t xml:space="preserve">difficulty</t>
  </si>
  <si>
    <t xml:space="preserve">tags</t>
  </si>
  <si>
    <t xml:space="preserve">box</t>
  </si>
  <si>
    <t xml:space="preserve">times_attempted</t>
  </si>
  <si>
    <t xml:space="preserve">times_correct</t>
  </si>
  <si>
    <t xml:space="preserve">last_attempted</t>
  </si>
  <si>
    <t xml:space="preserve">next_due</t>
  </si>
  <si>
    <t xml:space="preserve">image_path</t>
  </si>
  <si>
    <t xml:space="preserve">Short Answer</t>
  </si>
  <si>
    <t xml:space="preserve">In a data link, what is the DTE and what is the DCE? Give one example of each.</t>
  </si>
  <si>
    <t xml:space="preserve">DTE (Data Terminal Equipment) originates/receives the transmission, e.g. a computer, PLC or PAC. DCE (Data Communications Equipment) converts the signal for the transmission channel, e.g. a modem.</t>
  </si>
  <si>
    <t xml:space="preserve">The DTE/DCE interface (e.g. RS-232/RS-485) is the electrical connection between them; the channel (wire, fibre, radio) joins the two DCEs.</t>
  </si>
  <si>
    <t xml:space="preserve">section1,definitions</t>
  </si>
  <si>
    <t xml:space="preserve">MCQ</t>
  </si>
  <si>
    <t xml:space="preserve">Both devices can send and receive, but only one at a time, over a single channel. This is:</t>
  </si>
  <si>
    <t xml:space="preserve">Simplex|Half-duplex|Full-duplex|Multiplex</t>
  </si>
  <si>
    <t xml:space="preserve">Half-duplex</t>
  </si>
  <si>
    <t xml:space="preserve">Simplex = one direction only; full-duplex = both directions simultaneously (two channels).</t>
  </si>
  <si>
    <t xml:space="preserve">section1</t>
  </si>
  <si>
    <t xml:space="preserve">What is the difference between bits per second (BPS) and baud (Bd)?</t>
  </si>
  <si>
    <t xml:space="preserve">BPS = number of bits transmitted per second. Baud = number of discrete signal events (symbol changes) per second. They are equal only when each signal event carries one bit; with multilevel modulation BPS &gt; baud.</t>
  </si>
  <si>
    <t xml:space="preserve">Common exam trap - the terms are often used interchangeably but are not the same.</t>
  </si>
  <si>
    <t xml:space="preserve">section1,glossary</t>
  </si>
  <si>
    <t xml:space="preserve">58</t>
  </si>
  <si>
    <t xml:space="preserve">Name the four standard components of a feedback control loop.</t>
  </si>
  <si>
    <t xml:space="preserve">Process, measurement (sensor/transmitter), controller, final control element (e.g. control valve).</t>
  </si>
  <si>
    <t xml:space="preserve">See CNTR2371 Section 1.2.1.</t>
  </si>
  <si>
    <t xml:space="preserve">81</t>
  </si>
  <si>
    <t xml:space="preserve">What is reset (integral) windup and what is used to prevent it?</t>
  </si>
  <si>
    <t xml:space="preserve">When the controller output saturates while error persists, the integral term keeps accumulating (winding up), causing overshoot when the loop recovers. Anti-reset-windup limits on the integral term prevent it.</t>
  </si>
  <si>
    <t xml:space="preserve">Section 4.2 - PI controller with anti-reset windup limits.</t>
  </si>
  <si>
    <t xml:space="preserve">section4,issues</t>
  </si>
  <si>
    <t xml:space="preserve">121</t>
  </si>
  <si>
    <t xml:space="preserve">Define the K-factor of a turbine flow meter and state its typical units.</t>
  </si>
  <si>
    <t xml:space="preserve">K-factor = number of pulses generated per unit volume passing the meter (e.g. pulses/litre or pulses/gal). Flow total = pulses / K; flow rate = frequency / K.</t>
  </si>
  <si>
    <t xml:space="preserve">Used in Lab 04C with the MC-III totalizer.</t>
  </si>
  <si>
    <t xml:space="preserve">section2,turbine,lab04</t>
  </si>
  <si>
    <t xml:space="preserve">173</t>
  </si>
  <si>
    <t xml:space="preserve">A field device is a normally-closed stop pushbutton that is NOT pressed (contact closed, input ON). An XIC instruction referencing that input evaluates as:</t>
  </si>
  <si>
    <t xml:space="preserve">TRUE|FALSE|Depends on the rung|Undefined</t>
  </si>
  <si>
    <t xml:space="preserve">XIC (Examine If Closed) is true when the bit is 1 (input energized). XIO would be false. This is the classic Lab 3 pre-lab question.</t>
  </si>
  <si>
    <t xml:space="preserve">section3,LD,lab3</t>
  </si>
  <si>
    <t xml:space="preserve">170</t>
  </si>
  <si>
    <t xml:space="preserve">What is the difference between a base tag and an alias tag in Studio 5000?</t>
  </si>
  <si>
    <t xml:space="preserve">A base tag defines memory for data; an alias tag is another name that references a base tag (or a specific I/O point) so logic can use a descriptive name.</t>
  </si>
  <si>
    <t xml:space="preserve">Section 2.3.</t>
  </si>
  <si>
    <t xml:space="preserve">section2,tags</t>
  </si>
  <si>
    <t xml:space="preserve">241</t>
  </si>
  <si>
    <t xml:space="preserve">The Brightspace pre-lab quiz for an INST2380 lab must be passed (&gt;=50%) at least how long before the lab?</t>
  </si>
  <si>
    <t xml:space="preserve">5 minutes|15 minutes|1 hour|24 hours</t>
  </si>
  <si>
    <t xml:space="preserve">15 minutes</t>
  </si>
  <si>
    <t xml:space="preserve">F2025 lab syllabus: complete &gt;=15 min before lab, first attempt counts, max 2 h per attempt.</t>
  </si>
  <si>
    <t xml:space="preserve">lab-rules</t>
  </si>
  <si>
    <t xml:space="preserve">log_id</t>
  </si>
  <si>
    <t xml:space="preserve">minutes</t>
  </si>
  <si>
    <t xml:space="preserve">activity</t>
  </si>
  <si>
    <t xml:space="preserve">attendance_id</t>
  </si>
  <si>
    <t xml:space="preserve">exam_id</t>
  </si>
  <si>
    <t xml:space="preserve">date_taken</t>
  </si>
  <si>
    <t xml:space="preserve">time_limit_min</t>
  </si>
  <si>
    <t xml:space="preserve">question_ids</t>
  </si>
  <si>
    <t xml:space="preserve">results_json</t>
  </si>
  <si>
    <t xml:space="preserve">duration_min</t>
  </si>
  <si>
    <t xml:space="preserve">roadmap_id</t>
  </si>
  <si>
    <t xml:space="preserve">milestone</t>
  </si>
  <si>
    <t xml:space="preserve">auto_generated</t>
  </si>
  <si>
    <t xml:space="preserve">note_id</t>
  </si>
  <si>
    <t xml:space="preserve">body_html</t>
  </si>
  <si>
    <t xml:space="preserve">created_at</t>
  </si>
  <si>
    <t xml:space="preserve">updated_at</t>
  </si>
  <si>
    <t xml:space="preserve">Semester kickoff</t>
  </si>
  <si>
    <t xml:space="preserve">&lt;h2&gt;What I remember&lt;/h2&gt;&lt;p&gt;Six courses, lab section X02 for all. Pre-labs are graded in every course.&lt;/p&gt;&lt;h2&gt;Next action&lt;/h2&gt;&lt;p&gt;INST2340 Lab 1 tomorrow 08:00 Y238 - read Lab 1 PDF. CMTC2341 Lab 1 (RS-232) Friday 08:00 Y237.&lt;/p&gt;</t>
  </si>
  <si>
    <t xml:space="preserve">kickoff</t>
  </si>
  <si>
    <t xml:space="preserve">2026-09-02 22:00</t>
  </si>
  <si>
    <t xml:space="preserve">key</t>
  </si>
  <si>
    <t xml:space="preserve">value</t>
  </si>
  <si>
    <t xml:space="preserve">semester_start</t>
  </si>
  <si>
    <t xml:space="preserve">semester_end</t>
  </si>
  <si>
    <t xml:space="preserve">week1_monday</t>
  </si>
  <si>
    <t xml:space="preserve">exam_week_start</t>
  </si>
  <si>
    <t xml:space="preserve">week_start_day</t>
  </si>
  <si>
    <t xml:space="preserve">theme</t>
  </si>
  <si>
    <t xml:space="preserve">dark</t>
  </si>
  <si>
    <t xml:space="preserve">pdf_opener_cmd</t>
  </si>
  <si>
    <t xml:space="preserve">notifications</t>
  </si>
  <si>
    <t xml:space="preserve">default_study_block_min</t>
  </si>
  <si>
    <t xml:space="preserve">50</t>
  </si>
  <si>
    <t xml:space="preserve">last_summary_week</t>
  </si>
  <si>
    <t xml:space="preserve">workbook_version</t>
  </si>
  <si>
    <t xml:space="preserve">coursepack_root</t>
  </si>
  <si>
    <t xml:space="preserve">coursepacks</t>
  </si>
  <si>
    <t xml:space="preserve">student_lab_section</t>
  </si>
  <si>
    <t xml:space="preserve">institution</t>
  </si>
  <si>
    <t xml:space="preserve">NAIT - Instrumentation Engineering Technology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</si>
</sst>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35.0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customFormat="false" ht="15" hidden="false" customHeight="false" outlineLevel="0" collapsed="false">
      <c r="A6" s="4" t="n">
        <v>1</v>
      </c>
      <c r="B6" s="4" t="s">
        <v>14</v>
      </c>
      <c r="C6" s="4" t="s">
        <v>15</v>
      </c>
      <c r="D6" s="4" t="n">
        <f aca="false">INDEX(Courses!$J$2:$J$100,MATCH(A6,Courses!$A$2:$A$100,0))</f>
        <v>80</v>
      </c>
      <c r="E6" s="4" t="n">
        <f aca="false">SUMIFS(GradeWeights!$E$2:$E$500,GradeWeights!$B$2:$B$500,A6,GradeWeights!$C$2:$C$500,"Theory")</f>
        <v>88</v>
      </c>
      <c r="F6" s="4" t="n">
        <f aca="false">SUMIFS(GradeWeights!$E$2:$E$500,GradeWeights!$B$2:$B$500,A6,GradeWeights!$C$2:$C$500,"Lab")</f>
        <v>12</v>
      </c>
      <c r="G6" s="4" t="n">
        <f aca="false">E6+F6</f>
        <v>100</v>
      </c>
      <c r="H6" s="4" t="str">
        <f aca="false">IF(ABS(G6-100)&lt;0.01,"OK","CHECK")</f>
        <v>OK</v>
      </c>
      <c r="I6" s="4" t="n">
        <f aca="false">COUNTIF(Topics!$B$2:$B$2000,A6)</f>
        <v>50</v>
      </c>
      <c r="J6" s="4" t="n">
        <f aca="false">COUNTIF(Assessments!$B$2:$B$2000,A6)</f>
        <v>3</v>
      </c>
      <c r="K6" s="4" t="n">
        <f aca="false">COUNTIF(PreLabs!$B$2:$B$2000,A6)</f>
        <v>8</v>
      </c>
      <c r="L6" s="4" t="n">
        <f aca="false">COUNTIFS(SyllabusFlags!$B$2:$B$500,A6,SyllabusFlags!$F$2:$F$500,"FALSE")</f>
        <v>4</v>
      </c>
    </row>
    <row r="7" customFormat="false" ht="15" hidden="false" customHeight="false" outlineLevel="0" collapsed="false">
      <c r="A7" s="4" t="n">
        <v>2</v>
      </c>
      <c r="B7" s="4" t="s">
        <v>16</v>
      </c>
      <c r="C7" s="4" t="s">
        <v>17</v>
      </c>
      <c r="D7" s="4" t="n">
        <f aca="false">INDEX(Courses!$J$2:$J$100,MATCH(A7,Courses!$A$2:$A$100,0))</f>
        <v>80</v>
      </c>
      <c r="E7" s="4" t="n">
        <f aca="false">SUMIFS(GradeWeights!$E$2:$E$500,GradeWeights!$B$2:$B$500,A7,GradeWeights!$C$2:$C$500,"Theory")</f>
        <v>80</v>
      </c>
      <c r="F7" s="4" t="n">
        <f aca="false">SUMIFS(GradeWeights!$E$2:$E$500,GradeWeights!$B$2:$B$500,A7,GradeWeights!$C$2:$C$500,"Lab")</f>
        <v>20</v>
      </c>
      <c r="G7" s="4" t="n">
        <f aca="false">E7+F7</f>
        <v>100</v>
      </c>
      <c r="H7" s="4" t="str">
        <f aca="false">IF(ABS(G7-100)&lt;0.01,"OK","CHECK")</f>
        <v>OK</v>
      </c>
      <c r="I7" s="4" t="n">
        <f aca="false">COUNTIF(Topics!$B$2:$B$2000,A7)</f>
        <v>59</v>
      </c>
      <c r="J7" s="4" t="n">
        <f aca="false">COUNTIF(Assessments!$B$2:$B$2000,A7)</f>
        <v>5</v>
      </c>
      <c r="K7" s="4" t="n">
        <f aca="false">COUNTIF(PreLabs!$B$2:$B$2000,A7)</f>
        <v>15</v>
      </c>
      <c r="L7" s="4" t="n">
        <f aca="false">COUNTIFS(SyllabusFlags!$B$2:$B$500,A7,SyllabusFlags!$F$2:$F$500,"FALSE")</f>
        <v>4</v>
      </c>
    </row>
    <row r="8" customFormat="false" ht="15" hidden="false" customHeight="false" outlineLevel="0" collapsed="false">
      <c r="A8" s="4" t="n">
        <v>3</v>
      </c>
      <c r="B8" s="4" t="s">
        <v>18</v>
      </c>
      <c r="C8" s="4" t="s">
        <v>19</v>
      </c>
      <c r="D8" s="4" t="n">
        <f aca="false">INDEX(Courses!$J$2:$J$100,MATCH(A8,Courses!$A$2:$A$100,0))</f>
        <v>80</v>
      </c>
      <c r="E8" s="4" t="n">
        <f aca="false">SUMIFS(GradeWeights!$E$2:$E$500,GradeWeights!$B$2:$B$500,A8,GradeWeights!$C$2:$C$500,"Theory")</f>
        <v>80</v>
      </c>
      <c r="F8" s="4" t="n">
        <f aca="false">SUMIFS(GradeWeights!$E$2:$E$500,GradeWeights!$B$2:$B$500,A8,GradeWeights!$C$2:$C$500,"Lab")</f>
        <v>20</v>
      </c>
      <c r="G8" s="4" t="n">
        <f aca="false">E8+F8</f>
        <v>100</v>
      </c>
      <c r="H8" s="4" t="str">
        <f aca="false">IF(ABS(G8-100)&lt;0.01,"OK","CHECK")</f>
        <v>OK</v>
      </c>
      <c r="I8" s="4" t="n">
        <f aca="false">COUNTIF(Topics!$B$2:$B$2000,A8)</f>
        <v>50</v>
      </c>
      <c r="J8" s="4" t="n">
        <f aca="false">COUNTIF(Assessments!$B$2:$B$2000,A8)</f>
        <v>5</v>
      </c>
      <c r="K8" s="4" t="n">
        <f aca="false">COUNTIF(PreLabs!$B$2:$B$2000,A8)</f>
        <v>14</v>
      </c>
      <c r="L8" s="4" t="n">
        <f aca="false">COUNTIFS(SyllabusFlags!$B$2:$B$500,A8,SyllabusFlags!$F$2:$F$500,"FALSE")</f>
        <v>3</v>
      </c>
    </row>
    <row r="9" customFormat="false" ht="15" hidden="false" customHeight="false" outlineLevel="0" collapsed="false">
      <c r="A9" s="4" t="n">
        <v>4</v>
      </c>
      <c r="B9" s="4" t="s">
        <v>20</v>
      </c>
      <c r="C9" s="4" t="s">
        <v>21</v>
      </c>
      <c r="D9" s="4" t="n">
        <f aca="false">INDEX(Courses!$J$2:$J$100,MATCH(A9,Courses!$A$2:$A$100,0))</f>
        <v>80</v>
      </c>
      <c r="E9" s="4" t="n">
        <f aca="false">SUMIFS(GradeWeights!$E$2:$E$500,GradeWeights!$B$2:$B$500,A9,GradeWeights!$C$2:$C$500,"Theory")</f>
        <v>75</v>
      </c>
      <c r="F9" s="4" t="n">
        <f aca="false">SUMIFS(GradeWeights!$E$2:$E$500,GradeWeights!$B$2:$B$500,A9,GradeWeights!$C$2:$C$500,"Lab")</f>
        <v>25</v>
      </c>
      <c r="G9" s="4" t="n">
        <f aca="false">E9+F9</f>
        <v>100</v>
      </c>
      <c r="H9" s="4" t="str">
        <f aca="false">IF(ABS(G9-100)&lt;0.01,"OK","CHECK")</f>
        <v>OK</v>
      </c>
      <c r="I9" s="4" t="n">
        <f aca="false">COUNTIF(Topics!$B$2:$B$2000,A9)</f>
        <v>43</v>
      </c>
      <c r="J9" s="4" t="n">
        <f aca="false">COUNTIF(Assessments!$B$2:$B$2000,A9)</f>
        <v>6</v>
      </c>
      <c r="K9" s="4" t="n">
        <f aca="false">COUNTIF(PreLabs!$B$2:$B$2000,A9)</f>
        <v>15</v>
      </c>
      <c r="L9" s="4" t="n">
        <f aca="false">COUNTIFS(SyllabusFlags!$B$2:$B$500,A9,SyllabusFlags!$F$2:$F$500,"FALSE")</f>
        <v>4</v>
      </c>
    </row>
    <row r="10" customFormat="false" ht="15" hidden="false" customHeight="false" outlineLevel="0" collapsed="false">
      <c r="A10" s="4" t="n">
        <v>5</v>
      </c>
      <c r="B10" s="4" t="s">
        <v>22</v>
      </c>
      <c r="C10" s="4" t="s">
        <v>23</v>
      </c>
      <c r="D10" s="4" t="n">
        <f aca="false">INDEX(Courses!$J$2:$J$100,MATCH(A10,Courses!$A$2:$A$100,0))</f>
        <v>80</v>
      </c>
      <c r="E10" s="4" t="n">
        <f aca="false">SUMIFS(GradeWeights!$E$2:$E$500,GradeWeights!$B$2:$B$500,A10,GradeWeights!$C$2:$C$500,"Theory")</f>
        <v>80</v>
      </c>
      <c r="F10" s="4" t="n">
        <f aca="false">SUMIFS(GradeWeights!$E$2:$E$500,GradeWeights!$B$2:$B$500,A10,GradeWeights!$C$2:$C$500,"Lab")</f>
        <v>20</v>
      </c>
      <c r="G10" s="4" t="n">
        <f aca="false">E10+F10</f>
        <v>100</v>
      </c>
      <c r="H10" s="4" t="str">
        <f aca="false">IF(ABS(G10-100)&lt;0.01,"OK","CHECK")</f>
        <v>OK</v>
      </c>
      <c r="I10" s="4" t="n">
        <f aca="false">COUNTIF(Topics!$B$2:$B$2000,A10)</f>
        <v>32</v>
      </c>
      <c r="J10" s="4" t="n">
        <f aca="false">COUNTIF(Assessments!$B$2:$B$2000,A10)</f>
        <v>0</v>
      </c>
      <c r="K10" s="4" t="n">
        <f aca="false">COUNTIF(PreLabs!$B$2:$B$2000,A10)</f>
        <v>15</v>
      </c>
      <c r="L10" s="4" t="n">
        <f aca="false">COUNTIFS(SyllabusFlags!$B$2:$B$500,A10,SyllabusFlags!$F$2:$F$500,"FALSE")</f>
        <v>3</v>
      </c>
    </row>
    <row r="11" customFormat="false" ht="15" hidden="false" customHeight="false" outlineLevel="0" collapsed="false">
      <c r="A11" s="4" t="n">
        <v>6</v>
      </c>
      <c r="B11" s="4" t="s">
        <v>24</v>
      </c>
      <c r="C11" s="4" t="s">
        <v>25</v>
      </c>
      <c r="D11" s="4" t="n">
        <f aca="false">INDEX(Courses!$J$2:$J$100,MATCH(A11,Courses!$A$2:$A$100,0))</f>
        <v>80</v>
      </c>
      <c r="E11" s="4" t="n">
        <f aca="false">SUMIFS(GradeWeights!$E$2:$E$500,GradeWeights!$B$2:$B$500,A11,GradeWeights!$C$2:$C$500,"Theory")</f>
        <v>80</v>
      </c>
      <c r="F11" s="4" t="n">
        <f aca="false">SUMIFS(GradeWeights!$E$2:$E$500,GradeWeights!$B$2:$B$500,A11,GradeWeights!$C$2:$C$500,"Lab")</f>
        <v>20</v>
      </c>
      <c r="G11" s="4" t="n">
        <f aca="false">E11+F11</f>
        <v>100</v>
      </c>
      <c r="H11" s="4" t="str">
        <f aca="false">IF(ABS(G11-100)&lt;0.01,"OK","CHECK")</f>
        <v>OK</v>
      </c>
      <c r="I11" s="4" t="n">
        <f aca="false">COUNTIF(Topics!$B$2:$B$2000,A11)</f>
        <v>13</v>
      </c>
      <c r="J11" s="4" t="n">
        <f aca="false">COUNTIF(Assessments!$B$2:$B$2000,A11)</f>
        <v>1</v>
      </c>
      <c r="K11" s="4" t="n">
        <f aca="false">COUNTIF(PreLabs!$B$2:$B$2000,A11)</f>
        <v>14</v>
      </c>
      <c r="L11" s="4" t="n">
        <f aca="false">COUNTIFS(SyllabusFlags!$B$2:$B$500,A11,SyllabusFlags!$F$2:$F$500,"FALSE")</f>
        <v>4</v>
      </c>
    </row>
    <row r="14" customFormat="false" ht="15" hidden="false" customHeight="false" outlineLevel="0" collapsed="false">
      <c r="A14" s="4" t="s">
        <v>26</v>
      </c>
    </row>
    <row r="15" customFormat="false" ht="15" hidden="false" customHeight="false" outlineLevel="0" collapsed="false">
      <c r="A15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6" t="s">
        <v>28</v>
      </c>
    </row>
    <row r="2" customFormat="false" ht="15" hidden="false" customHeight="false" outlineLevel="0" collapsed="false">
      <c r="A2" s="7" t="s">
        <v>29</v>
      </c>
    </row>
    <row r="3" customFormat="false" ht="15" hidden="false" customHeight="false" outlineLevel="0" collapsed="false">
      <c r="A3" s="7" t="s">
        <v>30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6" t="s">
        <v>31</v>
      </c>
    </row>
    <row r="6" customFormat="false" ht="35.05" hidden="false" customHeight="false" outlineLevel="0" collapsed="false">
      <c r="A6" s="7" t="s">
        <v>32</v>
      </c>
    </row>
    <row r="7" customFormat="false" ht="23.85" hidden="false" customHeight="false" outlineLevel="0" collapsed="false">
      <c r="A7" s="7" t="s">
        <v>33</v>
      </c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6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  <row r="13" customFormat="false" ht="23.85" hidden="false" customHeight="false" outlineLevel="0" collapsed="false">
      <c r="A13" s="7" t="s">
        <v>38</v>
      </c>
    </row>
    <row r="14" customFormat="false" ht="23.85" hidden="false" customHeight="false" outlineLevel="0" collapsed="false">
      <c r="A14" s="7" t="s">
        <v>39</v>
      </c>
    </row>
    <row r="15" customFormat="false" ht="15" hidden="false" customHeight="false" outlineLevel="0" collapsed="false">
      <c r="A15" s="7" t="s">
        <v>40</v>
      </c>
    </row>
    <row r="16" customFormat="false" ht="15" hidden="false" customHeight="false" outlineLevel="0" collapsed="false">
      <c r="A16" s="7" t="s">
        <v>41</v>
      </c>
    </row>
    <row r="17" customFormat="false" ht="15" hidden="false" customHeight="false" outlineLevel="0" collapsed="false">
      <c r="A17" s="7" t="s">
        <v>42</v>
      </c>
    </row>
    <row r="18" customFormat="false" ht="15" hidden="false" customHeight="false" outlineLevel="0" collapsed="false">
      <c r="A18" s="7" t="s">
        <v>43</v>
      </c>
    </row>
    <row r="19" customFormat="false" ht="15" hidden="false" customHeight="false" outlineLevel="0" collapsed="false">
      <c r="A19" s="7" t="s">
        <v>44</v>
      </c>
    </row>
    <row r="20" customFormat="false" ht="15" hidden="false" customHeight="false" outlineLevel="0" collapsed="false">
      <c r="A20" s="7" t="s">
        <v>45</v>
      </c>
    </row>
    <row r="21" customFormat="false" ht="15" hidden="false" customHeight="false" outlineLevel="0" collapsed="false">
      <c r="A21" s="7" t="s">
        <v>46</v>
      </c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6" t="s">
        <v>47</v>
      </c>
    </row>
    <row r="24" customFormat="false" ht="23.85" hidden="false" customHeight="false" outlineLevel="0" collapsed="false">
      <c r="A24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9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55"/>
    <col collapsed="false" customWidth="true" hidden="false" outlineLevel="0" max="13" min="13" style="0" width="21"/>
    <col collapsed="false" customWidth="true" hidden="false" outlineLevel="0" max="14" min="14" style="0" width="18"/>
    <col collapsed="false" customWidth="true" hidden="false" outlineLevel="0" max="15" min="15" style="0" width="26"/>
    <col collapsed="false" customWidth="true" hidden="false" outlineLevel="0" max="16" min="16" style="0" width="70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</row>
    <row r="2" customFormat="false" ht="23.85" hidden="false" customHeight="false" outlineLevel="0" collapsed="false">
      <c r="A2" s="8" t="n">
        <v>1</v>
      </c>
      <c r="B2" s="8" t="s">
        <v>14</v>
      </c>
      <c r="C2" s="8" t="s">
        <v>15</v>
      </c>
      <c r="D2" s="8" t="s">
        <v>62</v>
      </c>
      <c r="E2" s="8" t="s">
        <v>63</v>
      </c>
      <c r="F2" s="8" t="s">
        <v>64</v>
      </c>
      <c r="G2" s="8" t="s">
        <v>65</v>
      </c>
      <c r="H2" s="8" t="s">
        <v>66</v>
      </c>
      <c r="I2" s="8" t="s">
        <v>67</v>
      </c>
      <c r="J2" s="9" t="n">
        <v>80</v>
      </c>
      <c r="K2" s="8" t="s">
        <v>68</v>
      </c>
      <c r="L2" s="8" t="s">
        <v>69</v>
      </c>
      <c r="M2" s="8" t="s">
        <v>70</v>
      </c>
      <c r="N2" s="8" t="s">
        <v>70</v>
      </c>
      <c r="O2" s="8" t="n">
        <v>75</v>
      </c>
      <c r="P2" s="7" t="s">
        <v>71</v>
      </c>
      <c r="Q2" s="10" t="b">
        <f aca="false">TRUE()</f>
        <v>1</v>
      </c>
    </row>
    <row r="3" customFormat="false" ht="23.85" hidden="false" customHeight="false" outlineLevel="0" collapsed="false">
      <c r="A3" s="8" t="n">
        <v>2</v>
      </c>
      <c r="B3" s="8" t="s">
        <v>16</v>
      </c>
      <c r="C3" s="8" t="s">
        <v>17</v>
      </c>
      <c r="D3" s="8" t="s">
        <v>62</v>
      </c>
      <c r="E3" s="8" t="s">
        <v>72</v>
      </c>
      <c r="F3" s="8" t="s">
        <v>73</v>
      </c>
      <c r="G3" s="8" t="s">
        <v>74</v>
      </c>
      <c r="H3" s="8" t="s">
        <v>66</v>
      </c>
      <c r="I3" s="8" t="s">
        <v>67</v>
      </c>
      <c r="J3" s="9" t="n">
        <v>80</v>
      </c>
      <c r="K3" s="8" t="s">
        <v>75</v>
      </c>
      <c r="L3" s="8" t="s">
        <v>76</v>
      </c>
      <c r="M3" s="8" t="s">
        <v>77</v>
      </c>
      <c r="N3" s="8" t="s">
        <v>78</v>
      </c>
      <c r="O3" s="8" t="n">
        <v>75</v>
      </c>
      <c r="P3" s="7" t="s">
        <v>79</v>
      </c>
      <c r="Q3" s="10" t="b">
        <f aca="false">TRUE()</f>
        <v>1</v>
      </c>
    </row>
    <row r="4" customFormat="false" ht="23.85" hidden="false" customHeight="false" outlineLevel="0" collapsed="false">
      <c r="A4" s="8" t="n">
        <v>3</v>
      </c>
      <c r="B4" s="8" t="s">
        <v>18</v>
      </c>
      <c r="C4" s="8" t="s">
        <v>19</v>
      </c>
      <c r="D4" s="8" t="s">
        <v>62</v>
      </c>
      <c r="E4" s="8" t="s">
        <v>80</v>
      </c>
      <c r="F4" s="8" t="s">
        <v>81</v>
      </c>
      <c r="G4" s="8" t="s">
        <v>82</v>
      </c>
      <c r="H4" s="8" t="s">
        <v>66</v>
      </c>
      <c r="I4" s="8" t="s">
        <v>67</v>
      </c>
      <c r="J4" s="9" t="n">
        <v>80</v>
      </c>
      <c r="K4" s="8" t="s">
        <v>83</v>
      </c>
      <c r="L4" s="8" t="s">
        <v>84</v>
      </c>
      <c r="M4" s="8" t="s">
        <v>85</v>
      </c>
      <c r="N4" s="8" t="s">
        <v>86</v>
      </c>
      <c r="O4" s="8" t="n">
        <v>80</v>
      </c>
      <c r="P4" s="7" t="s">
        <v>87</v>
      </c>
      <c r="Q4" s="10" t="b">
        <f aca="false">TRUE()</f>
        <v>1</v>
      </c>
    </row>
    <row r="5" customFormat="false" ht="23.85" hidden="false" customHeight="false" outlineLevel="0" collapsed="false">
      <c r="A5" s="8" t="n">
        <v>4</v>
      </c>
      <c r="B5" s="8" t="s">
        <v>20</v>
      </c>
      <c r="C5" s="8" t="s">
        <v>21</v>
      </c>
      <c r="D5" s="8" t="s">
        <v>62</v>
      </c>
      <c r="E5" s="8" t="s">
        <v>63</v>
      </c>
      <c r="F5" s="8" t="s">
        <v>64</v>
      </c>
      <c r="G5" s="8" t="s">
        <v>65</v>
      </c>
      <c r="H5" s="8" t="s">
        <v>66</v>
      </c>
      <c r="I5" s="8" t="s">
        <v>67</v>
      </c>
      <c r="J5" s="9" t="n">
        <v>80</v>
      </c>
      <c r="K5" s="8" t="s">
        <v>88</v>
      </c>
      <c r="L5" s="8" t="s">
        <v>89</v>
      </c>
      <c r="M5" s="8" t="s">
        <v>90</v>
      </c>
      <c r="N5" s="8" t="s">
        <v>90</v>
      </c>
      <c r="O5" s="8" t="n">
        <v>75</v>
      </c>
      <c r="P5" s="7" t="s">
        <v>91</v>
      </c>
      <c r="Q5" s="10" t="b">
        <f aca="false">TRUE()</f>
        <v>1</v>
      </c>
    </row>
    <row r="6" customFormat="false" ht="23.85" hidden="false" customHeight="false" outlineLevel="0" collapsed="false">
      <c r="A6" s="8" t="n">
        <v>5</v>
      </c>
      <c r="B6" s="8" t="s">
        <v>22</v>
      </c>
      <c r="C6" s="8" t="s">
        <v>23</v>
      </c>
      <c r="D6" s="8" t="s">
        <v>62</v>
      </c>
      <c r="E6" s="8" t="s">
        <v>92</v>
      </c>
      <c r="F6" s="8"/>
      <c r="G6" s="8"/>
      <c r="H6" s="8" t="s">
        <v>66</v>
      </c>
      <c r="I6" s="8" t="s">
        <v>67</v>
      </c>
      <c r="J6" s="9" t="n">
        <v>80</v>
      </c>
      <c r="K6" s="8" t="s">
        <v>93</v>
      </c>
      <c r="L6" s="8"/>
      <c r="M6" s="8" t="s">
        <v>94</v>
      </c>
      <c r="N6" s="8" t="s">
        <v>94</v>
      </c>
      <c r="O6" s="8" t="n">
        <v>75</v>
      </c>
      <c r="P6" s="7" t="s">
        <v>95</v>
      </c>
      <c r="Q6" s="10" t="b">
        <f aca="false">TRUE()</f>
        <v>1</v>
      </c>
    </row>
    <row r="7" customFormat="false" ht="46.25" hidden="false" customHeight="false" outlineLevel="0" collapsed="false">
      <c r="A7" s="8" t="n">
        <v>6</v>
      </c>
      <c r="B7" s="8" t="s">
        <v>24</v>
      </c>
      <c r="C7" s="8" t="s">
        <v>25</v>
      </c>
      <c r="D7" s="8" t="s">
        <v>62</v>
      </c>
      <c r="E7" s="8" t="s">
        <v>96</v>
      </c>
      <c r="F7" s="8" t="s">
        <v>97</v>
      </c>
      <c r="G7" s="8"/>
      <c r="H7" s="8" t="s">
        <v>66</v>
      </c>
      <c r="I7" s="8" t="s">
        <v>67</v>
      </c>
      <c r="J7" s="9" t="n">
        <v>80</v>
      </c>
      <c r="K7" s="8" t="s">
        <v>98</v>
      </c>
      <c r="L7" s="8" t="s">
        <v>99</v>
      </c>
      <c r="M7" s="8" t="s">
        <v>100</v>
      </c>
      <c r="N7" s="8" t="s">
        <v>100</v>
      </c>
      <c r="O7" s="8" t="n">
        <v>75</v>
      </c>
      <c r="P7" s="7" t="s">
        <v>101</v>
      </c>
      <c r="Q7" s="10" t="b">
        <f aca="false">TRUE()</f>
        <v>1</v>
      </c>
    </row>
  </sheetData>
  <autoFilter ref="A1:Q7"/>
  <dataValidations count="1">
    <dataValidation allowBlank="true" error="Pick a value from the list" errorStyle="stop" errorTitle="Invalid value" operator="between" showDropDown="false" showErrorMessage="false" showInputMessage="false" sqref="Q2:Q1007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5" min="5" style="0" width="95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102</v>
      </c>
      <c r="B1" s="3" t="s">
        <v>2</v>
      </c>
      <c r="C1" s="3" t="s">
        <v>103</v>
      </c>
      <c r="D1" s="3" t="s">
        <v>104</v>
      </c>
      <c r="E1" s="3" t="s">
        <v>105</v>
      </c>
      <c r="F1" s="3" t="s">
        <v>106</v>
      </c>
    </row>
    <row r="2" customFormat="false" ht="15" hidden="false" customHeight="false" outlineLevel="0" collapsed="false">
      <c r="A2" s="8" t="n">
        <v>1</v>
      </c>
      <c r="B2" s="8" t="n">
        <v>1</v>
      </c>
      <c r="C2" s="8" t="s">
        <v>107</v>
      </c>
      <c r="D2" s="8" t="s">
        <v>108</v>
      </c>
      <c r="E2" s="8" t="s">
        <v>109</v>
      </c>
      <c r="F2" s="8" t="n">
        <v>1</v>
      </c>
    </row>
    <row r="3" customFormat="false" ht="15" hidden="false" customHeight="false" outlineLevel="0" collapsed="false">
      <c r="A3" s="8" t="n">
        <v>2</v>
      </c>
      <c r="B3" s="8" t="n">
        <v>1</v>
      </c>
      <c r="C3" s="8" t="s">
        <v>110</v>
      </c>
      <c r="D3" s="8" t="s">
        <v>111</v>
      </c>
      <c r="E3" s="8" t="s">
        <v>69</v>
      </c>
      <c r="F3" s="8" t="n">
        <v>2</v>
      </c>
    </row>
    <row r="4" customFormat="false" ht="15" hidden="false" customHeight="false" outlineLevel="0" collapsed="false">
      <c r="A4" s="8" t="n">
        <v>3</v>
      </c>
      <c r="B4" s="8" t="n">
        <v>1</v>
      </c>
      <c r="C4" s="8" t="s">
        <v>112</v>
      </c>
      <c r="D4" s="8" t="s">
        <v>113</v>
      </c>
      <c r="E4" s="8" t="s">
        <v>114</v>
      </c>
      <c r="F4" s="8" t="n">
        <v>3</v>
      </c>
    </row>
    <row r="5" customFormat="false" ht="15" hidden="false" customHeight="false" outlineLevel="0" collapsed="false">
      <c r="A5" s="8" t="n">
        <v>4</v>
      </c>
      <c r="B5" s="8" t="n">
        <v>2</v>
      </c>
      <c r="C5" s="8" t="s">
        <v>115</v>
      </c>
      <c r="D5" s="8" t="s">
        <v>111</v>
      </c>
      <c r="E5" s="8" t="s">
        <v>76</v>
      </c>
      <c r="F5" s="8" t="n">
        <v>1</v>
      </c>
    </row>
    <row r="6" customFormat="false" ht="15" hidden="false" customHeight="false" outlineLevel="0" collapsed="false">
      <c r="A6" s="8" t="n">
        <v>5</v>
      </c>
      <c r="B6" s="8" t="n">
        <v>2</v>
      </c>
      <c r="C6" s="8" t="s">
        <v>116</v>
      </c>
      <c r="D6" s="8" t="s">
        <v>108</v>
      </c>
      <c r="E6" s="8" t="s">
        <v>117</v>
      </c>
      <c r="F6" s="8" t="n">
        <v>2</v>
      </c>
    </row>
    <row r="7" customFormat="false" ht="15" hidden="false" customHeight="false" outlineLevel="0" collapsed="false">
      <c r="A7" s="8" t="n">
        <v>6</v>
      </c>
      <c r="B7" s="8" t="n">
        <v>2</v>
      </c>
      <c r="C7" s="8" t="s">
        <v>118</v>
      </c>
      <c r="D7" s="8" t="s">
        <v>108</v>
      </c>
      <c r="E7" s="8" t="s">
        <v>119</v>
      </c>
      <c r="F7" s="8" t="n">
        <v>11</v>
      </c>
    </row>
    <row r="8" customFormat="false" ht="15" hidden="false" customHeight="false" outlineLevel="0" collapsed="false">
      <c r="A8" s="8" t="n">
        <v>7</v>
      </c>
      <c r="B8" s="8" t="n">
        <v>2</v>
      </c>
      <c r="C8" s="8" t="s">
        <v>120</v>
      </c>
      <c r="D8" s="8" t="s">
        <v>108</v>
      </c>
      <c r="E8" s="8" t="s">
        <v>121</v>
      </c>
      <c r="F8" s="8" t="n">
        <v>12</v>
      </c>
    </row>
    <row r="9" customFormat="false" ht="15" hidden="false" customHeight="false" outlineLevel="0" collapsed="false">
      <c r="A9" s="8" t="n">
        <v>8</v>
      </c>
      <c r="B9" s="8" t="n">
        <v>2</v>
      </c>
      <c r="C9" s="8" t="s">
        <v>122</v>
      </c>
      <c r="D9" s="8" t="s">
        <v>108</v>
      </c>
      <c r="E9" s="8" t="s">
        <v>123</v>
      </c>
      <c r="F9" s="8" t="n">
        <v>13</v>
      </c>
    </row>
    <row r="10" customFormat="false" ht="15" hidden="false" customHeight="false" outlineLevel="0" collapsed="false">
      <c r="A10" s="8" t="n">
        <v>9</v>
      </c>
      <c r="B10" s="8" t="n">
        <v>2</v>
      </c>
      <c r="C10" s="8" t="s">
        <v>124</v>
      </c>
      <c r="D10" s="8" t="s">
        <v>108</v>
      </c>
      <c r="E10" s="8" t="s">
        <v>125</v>
      </c>
      <c r="F10" s="8" t="n">
        <v>14</v>
      </c>
    </row>
    <row r="11" customFormat="false" ht="15" hidden="false" customHeight="false" outlineLevel="0" collapsed="false">
      <c r="A11" s="8" t="n">
        <v>10</v>
      </c>
      <c r="B11" s="8" t="n">
        <v>2</v>
      </c>
      <c r="C11" s="8" t="s">
        <v>126</v>
      </c>
      <c r="D11" s="8" t="s">
        <v>108</v>
      </c>
      <c r="E11" s="8" t="s">
        <v>127</v>
      </c>
      <c r="F11" s="8" t="n">
        <v>15</v>
      </c>
    </row>
    <row r="12" customFormat="false" ht="15" hidden="false" customHeight="false" outlineLevel="0" collapsed="false">
      <c r="A12" s="8" t="n">
        <v>11</v>
      </c>
      <c r="B12" s="8" t="n">
        <v>2</v>
      </c>
      <c r="C12" s="8" t="s">
        <v>128</v>
      </c>
      <c r="D12" s="8" t="s">
        <v>108</v>
      </c>
      <c r="E12" s="8" t="s">
        <v>129</v>
      </c>
      <c r="F12" s="8" t="n">
        <v>16</v>
      </c>
    </row>
    <row r="13" customFormat="false" ht="15" hidden="false" customHeight="false" outlineLevel="0" collapsed="false">
      <c r="A13" s="8" t="n">
        <v>12</v>
      </c>
      <c r="B13" s="8" t="n">
        <v>2</v>
      </c>
      <c r="C13" s="8" t="s">
        <v>130</v>
      </c>
      <c r="D13" s="8" t="s">
        <v>108</v>
      </c>
      <c r="E13" s="8" t="s">
        <v>131</v>
      </c>
      <c r="F13" s="8" t="n">
        <v>17</v>
      </c>
    </row>
    <row r="14" customFormat="false" ht="15" hidden="false" customHeight="false" outlineLevel="0" collapsed="false">
      <c r="A14" s="8" t="n">
        <v>13</v>
      </c>
      <c r="B14" s="8" t="n">
        <v>2</v>
      </c>
      <c r="C14" s="8" t="s">
        <v>132</v>
      </c>
      <c r="D14" s="8" t="s">
        <v>108</v>
      </c>
      <c r="E14" s="8" t="s">
        <v>133</v>
      </c>
      <c r="F14" s="8" t="n">
        <v>18</v>
      </c>
    </row>
    <row r="15" customFormat="false" ht="15" hidden="false" customHeight="false" outlineLevel="0" collapsed="false">
      <c r="A15" s="8" t="n">
        <v>14</v>
      </c>
      <c r="B15" s="8" t="n">
        <v>2</v>
      </c>
      <c r="C15" s="8" t="s">
        <v>134</v>
      </c>
      <c r="D15" s="8" t="s">
        <v>135</v>
      </c>
      <c r="E15" s="8" t="s">
        <v>136</v>
      </c>
      <c r="F15" s="8" t="n">
        <v>30</v>
      </c>
    </row>
    <row r="16" customFormat="false" ht="15" hidden="false" customHeight="false" outlineLevel="0" collapsed="false">
      <c r="A16" s="8" t="n">
        <v>15</v>
      </c>
      <c r="B16" s="8" t="n">
        <v>2</v>
      </c>
      <c r="C16" s="8" t="s">
        <v>137</v>
      </c>
      <c r="D16" s="8" t="s">
        <v>135</v>
      </c>
      <c r="E16" s="8" t="s">
        <v>138</v>
      </c>
      <c r="F16" s="8" t="n">
        <v>31</v>
      </c>
    </row>
    <row r="17" customFormat="false" ht="15" hidden="false" customHeight="false" outlineLevel="0" collapsed="false">
      <c r="A17" s="8" t="n">
        <v>16</v>
      </c>
      <c r="B17" s="8" t="n">
        <v>2</v>
      </c>
      <c r="C17" s="8" t="s">
        <v>139</v>
      </c>
      <c r="D17" s="8" t="s">
        <v>140</v>
      </c>
      <c r="E17" s="8" t="s">
        <v>141</v>
      </c>
      <c r="F17" s="8" t="n">
        <v>40</v>
      </c>
    </row>
    <row r="18" customFormat="false" ht="15" hidden="false" customHeight="false" outlineLevel="0" collapsed="false">
      <c r="A18" s="8" t="n">
        <v>17</v>
      </c>
      <c r="B18" s="8" t="n">
        <v>2</v>
      </c>
      <c r="C18" s="8" t="s">
        <v>142</v>
      </c>
      <c r="D18" s="8" t="s">
        <v>143</v>
      </c>
      <c r="E18" s="8" t="s">
        <v>144</v>
      </c>
      <c r="F18" s="8" t="n">
        <v>50</v>
      </c>
    </row>
    <row r="19" customFormat="false" ht="15" hidden="false" customHeight="false" outlineLevel="0" collapsed="false">
      <c r="A19" s="8" t="n">
        <v>18</v>
      </c>
      <c r="B19" s="8" t="n">
        <v>2</v>
      </c>
      <c r="C19" s="8" t="s">
        <v>145</v>
      </c>
      <c r="D19" s="8" t="s">
        <v>143</v>
      </c>
      <c r="E19" s="8" t="s">
        <v>146</v>
      </c>
      <c r="F19" s="8" t="n">
        <v>51</v>
      </c>
    </row>
    <row r="20" customFormat="false" ht="15" hidden="false" customHeight="false" outlineLevel="0" collapsed="false">
      <c r="A20" s="8" t="n">
        <v>19</v>
      </c>
      <c r="B20" s="8" t="n">
        <v>2</v>
      </c>
      <c r="C20" s="8" t="s">
        <v>147</v>
      </c>
      <c r="D20" s="8" t="s">
        <v>143</v>
      </c>
      <c r="E20" s="8" t="s">
        <v>148</v>
      </c>
      <c r="F20" s="8" t="n">
        <v>52</v>
      </c>
    </row>
    <row r="21" customFormat="false" ht="15" hidden="false" customHeight="false" outlineLevel="0" collapsed="false">
      <c r="A21" s="8" t="n">
        <v>20</v>
      </c>
      <c r="B21" s="8" t="n">
        <v>2</v>
      </c>
      <c r="C21" s="8" t="s">
        <v>149</v>
      </c>
      <c r="D21" s="8" t="s">
        <v>143</v>
      </c>
      <c r="E21" s="8" t="s">
        <v>150</v>
      </c>
      <c r="F21" s="8" t="n">
        <v>53</v>
      </c>
    </row>
    <row r="22" customFormat="false" ht="15" hidden="false" customHeight="false" outlineLevel="0" collapsed="false">
      <c r="A22" s="8" t="n">
        <v>21</v>
      </c>
      <c r="B22" s="8" t="n">
        <v>2</v>
      </c>
      <c r="C22" s="8" t="s">
        <v>151</v>
      </c>
      <c r="D22" s="8" t="s">
        <v>143</v>
      </c>
      <c r="E22" s="8" t="s">
        <v>152</v>
      </c>
      <c r="F22" s="8" t="n">
        <v>54</v>
      </c>
    </row>
    <row r="23" customFormat="false" ht="15" hidden="false" customHeight="false" outlineLevel="0" collapsed="false">
      <c r="A23" s="8" t="n">
        <v>22</v>
      </c>
      <c r="B23" s="8" t="n">
        <v>2</v>
      </c>
      <c r="C23" s="8" t="s">
        <v>153</v>
      </c>
      <c r="D23" s="8" t="s">
        <v>143</v>
      </c>
      <c r="E23" s="8" t="s">
        <v>154</v>
      </c>
      <c r="F23" s="8" t="n">
        <v>56</v>
      </c>
    </row>
    <row r="24" customFormat="false" ht="15" hidden="false" customHeight="false" outlineLevel="0" collapsed="false">
      <c r="A24" s="8" t="n">
        <v>23</v>
      </c>
      <c r="B24" s="8" t="n">
        <v>2</v>
      </c>
      <c r="C24" s="8" t="s">
        <v>155</v>
      </c>
      <c r="D24" s="8" t="s">
        <v>143</v>
      </c>
      <c r="E24" s="8" t="s">
        <v>156</v>
      </c>
      <c r="F24" s="8" t="n">
        <v>57</v>
      </c>
    </row>
    <row r="25" customFormat="false" ht="15" hidden="false" customHeight="false" outlineLevel="0" collapsed="false">
      <c r="A25" s="8" t="n">
        <v>24</v>
      </c>
      <c r="B25" s="8" t="n">
        <v>2</v>
      </c>
      <c r="C25" s="8" t="s">
        <v>157</v>
      </c>
      <c r="D25" s="8" t="s">
        <v>143</v>
      </c>
      <c r="E25" s="8" t="s">
        <v>158</v>
      </c>
      <c r="F25" s="8" t="n">
        <v>59</v>
      </c>
    </row>
    <row r="26" customFormat="false" ht="15" hidden="false" customHeight="false" outlineLevel="0" collapsed="false">
      <c r="A26" s="8" t="n">
        <v>25</v>
      </c>
      <c r="B26" s="8" t="n">
        <v>2</v>
      </c>
      <c r="C26" s="8" t="s">
        <v>159</v>
      </c>
      <c r="D26" s="8" t="s">
        <v>143</v>
      </c>
      <c r="E26" s="8" t="s">
        <v>160</v>
      </c>
      <c r="F26" s="8" t="n">
        <v>60</v>
      </c>
    </row>
    <row r="27" customFormat="false" ht="15" hidden="false" customHeight="false" outlineLevel="0" collapsed="false">
      <c r="A27" s="8" t="n">
        <v>26</v>
      </c>
      <c r="B27" s="8" t="n">
        <v>2</v>
      </c>
      <c r="C27" s="8" t="s">
        <v>161</v>
      </c>
      <c r="D27" s="8" t="s">
        <v>143</v>
      </c>
      <c r="E27" s="8" t="s">
        <v>162</v>
      </c>
      <c r="F27" s="8" t="n">
        <v>62</v>
      </c>
    </row>
    <row r="28" customFormat="false" ht="15" hidden="false" customHeight="false" outlineLevel="0" collapsed="false">
      <c r="A28" s="8" t="n">
        <v>27</v>
      </c>
      <c r="B28" s="8" t="n">
        <v>2</v>
      </c>
      <c r="C28" s="8" t="s">
        <v>163</v>
      </c>
      <c r="D28" s="8" t="s">
        <v>143</v>
      </c>
      <c r="E28" s="8" t="s">
        <v>164</v>
      </c>
      <c r="F28" s="8" t="n">
        <v>63</v>
      </c>
    </row>
    <row r="29" customFormat="false" ht="15" hidden="false" customHeight="false" outlineLevel="0" collapsed="false">
      <c r="A29" s="8" t="n">
        <v>28</v>
      </c>
      <c r="B29" s="8" t="n">
        <v>2</v>
      </c>
      <c r="C29" s="8" t="s">
        <v>165</v>
      </c>
      <c r="D29" s="8" t="s">
        <v>143</v>
      </c>
      <c r="E29" s="8" t="s">
        <v>166</v>
      </c>
      <c r="F29" s="8" t="n">
        <v>65</v>
      </c>
    </row>
    <row r="30" customFormat="false" ht="15" hidden="false" customHeight="false" outlineLevel="0" collapsed="false">
      <c r="A30" s="8" t="n">
        <v>29</v>
      </c>
      <c r="B30" s="8" t="n">
        <v>2</v>
      </c>
      <c r="C30" s="8" t="s">
        <v>167</v>
      </c>
      <c r="D30" s="8" t="s">
        <v>143</v>
      </c>
      <c r="E30" s="8" t="s">
        <v>168</v>
      </c>
      <c r="F30" s="8" t="n">
        <v>66</v>
      </c>
    </row>
    <row r="31" customFormat="false" ht="15" hidden="false" customHeight="false" outlineLevel="0" collapsed="false">
      <c r="A31" s="8" t="n">
        <v>30</v>
      </c>
      <c r="B31" s="8" t="n">
        <v>2</v>
      </c>
      <c r="C31" s="8" t="s">
        <v>169</v>
      </c>
      <c r="D31" s="8" t="s">
        <v>143</v>
      </c>
      <c r="E31" s="8" t="s">
        <v>170</v>
      </c>
      <c r="F31" s="8" t="n">
        <v>68</v>
      </c>
    </row>
    <row r="32" customFormat="false" ht="15" hidden="false" customHeight="false" outlineLevel="0" collapsed="false">
      <c r="A32" s="8" t="n">
        <v>31</v>
      </c>
      <c r="B32" s="8" t="n">
        <v>2</v>
      </c>
      <c r="C32" s="8" t="s">
        <v>171</v>
      </c>
      <c r="D32" s="8" t="s">
        <v>143</v>
      </c>
      <c r="E32" s="8" t="s">
        <v>172</v>
      </c>
      <c r="F32" s="8" t="n">
        <v>69</v>
      </c>
    </row>
    <row r="33" customFormat="false" ht="15" hidden="false" customHeight="false" outlineLevel="0" collapsed="false">
      <c r="A33" s="8" t="n">
        <v>32</v>
      </c>
      <c r="B33" s="8" t="n">
        <v>2</v>
      </c>
      <c r="C33" s="8" t="s">
        <v>173</v>
      </c>
      <c r="D33" s="8" t="s">
        <v>143</v>
      </c>
      <c r="E33" s="8" t="s">
        <v>174</v>
      </c>
      <c r="F33" s="8" t="n">
        <v>71</v>
      </c>
    </row>
    <row r="34" customFormat="false" ht="15" hidden="false" customHeight="false" outlineLevel="0" collapsed="false">
      <c r="A34" s="8" t="n">
        <v>33</v>
      </c>
      <c r="B34" s="8" t="n">
        <v>2</v>
      </c>
      <c r="C34" s="8" t="s">
        <v>175</v>
      </c>
      <c r="D34" s="8" t="s">
        <v>143</v>
      </c>
      <c r="E34" s="8" t="s">
        <v>176</v>
      </c>
      <c r="F34" s="8" t="n">
        <v>72</v>
      </c>
    </row>
    <row r="35" customFormat="false" ht="15" hidden="false" customHeight="false" outlineLevel="0" collapsed="false">
      <c r="A35" s="8" t="n">
        <v>34</v>
      </c>
      <c r="B35" s="8" t="n">
        <v>2</v>
      </c>
      <c r="C35" s="8" t="s">
        <v>177</v>
      </c>
      <c r="D35" s="8" t="s">
        <v>143</v>
      </c>
      <c r="E35" s="8" t="s">
        <v>178</v>
      </c>
      <c r="F35" s="8" t="n">
        <v>74</v>
      </c>
    </row>
    <row r="36" customFormat="false" ht="15" hidden="false" customHeight="false" outlineLevel="0" collapsed="false">
      <c r="A36" s="8" t="n">
        <v>35</v>
      </c>
      <c r="B36" s="8" t="n">
        <v>2</v>
      </c>
      <c r="C36" s="8" t="s">
        <v>179</v>
      </c>
      <c r="D36" s="8" t="s">
        <v>143</v>
      </c>
      <c r="E36" s="8" t="s">
        <v>180</v>
      </c>
      <c r="F36" s="8" t="n">
        <v>75</v>
      </c>
    </row>
    <row r="37" customFormat="false" ht="15" hidden="false" customHeight="false" outlineLevel="0" collapsed="false">
      <c r="A37" s="8" t="n">
        <v>36</v>
      </c>
      <c r="B37" s="8" t="n">
        <v>2</v>
      </c>
      <c r="C37" s="8" t="s">
        <v>181</v>
      </c>
      <c r="D37" s="8" t="s">
        <v>143</v>
      </c>
      <c r="E37" s="8" t="s">
        <v>182</v>
      </c>
      <c r="F37" s="8" t="n">
        <v>77</v>
      </c>
    </row>
    <row r="38" customFormat="false" ht="15" hidden="false" customHeight="false" outlineLevel="0" collapsed="false">
      <c r="A38" s="8" t="n">
        <v>37</v>
      </c>
      <c r="B38" s="8" t="n">
        <v>2</v>
      </c>
      <c r="C38" s="8" t="s">
        <v>183</v>
      </c>
      <c r="D38" s="8" t="s">
        <v>143</v>
      </c>
      <c r="E38" s="8" t="s">
        <v>184</v>
      </c>
      <c r="F38" s="8" t="n">
        <v>78</v>
      </c>
    </row>
    <row r="39" customFormat="false" ht="15" hidden="false" customHeight="false" outlineLevel="0" collapsed="false">
      <c r="A39" s="8" t="n">
        <v>38</v>
      </c>
      <c r="B39" s="8" t="n">
        <v>2</v>
      </c>
      <c r="C39" s="8" t="s">
        <v>185</v>
      </c>
      <c r="D39" s="8" t="s">
        <v>143</v>
      </c>
      <c r="E39" s="8" t="s">
        <v>186</v>
      </c>
      <c r="F39" s="8" t="n">
        <v>80</v>
      </c>
    </row>
    <row r="40" customFormat="false" ht="15" hidden="false" customHeight="false" outlineLevel="0" collapsed="false">
      <c r="A40" s="8" t="n">
        <v>39</v>
      </c>
      <c r="B40" s="8" t="n">
        <v>2</v>
      </c>
      <c r="C40" s="8" t="s">
        <v>187</v>
      </c>
      <c r="D40" s="8" t="s">
        <v>143</v>
      </c>
      <c r="E40" s="8" t="s">
        <v>188</v>
      </c>
      <c r="F40" s="8" t="n">
        <v>81</v>
      </c>
    </row>
    <row r="41" customFormat="false" ht="15" hidden="false" customHeight="false" outlineLevel="0" collapsed="false">
      <c r="A41" s="8" t="n">
        <v>40</v>
      </c>
      <c r="B41" s="8" t="n">
        <v>2</v>
      </c>
      <c r="C41" s="8" t="s">
        <v>189</v>
      </c>
      <c r="D41" s="8" t="s">
        <v>143</v>
      </c>
      <c r="E41" s="8" t="s">
        <v>190</v>
      </c>
      <c r="F41" s="8" t="n">
        <v>82</v>
      </c>
    </row>
    <row r="42" customFormat="false" ht="15" hidden="false" customHeight="false" outlineLevel="0" collapsed="false">
      <c r="A42" s="8" t="n">
        <v>41</v>
      </c>
      <c r="B42" s="8" t="n">
        <v>2</v>
      </c>
      <c r="C42" s="8" t="s">
        <v>191</v>
      </c>
      <c r="D42" s="8" t="s">
        <v>192</v>
      </c>
      <c r="E42" s="8" t="s">
        <v>193</v>
      </c>
      <c r="F42" s="8" t="n">
        <v>90</v>
      </c>
    </row>
    <row r="43" customFormat="false" ht="15" hidden="false" customHeight="false" outlineLevel="0" collapsed="false">
      <c r="A43" s="8" t="n">
        <v>42</v>
      </c>
      <c r="B43" s="8" t="n">
        <v>2</v>
      </c>
      <c r="C43" s="8" t="s">
        <v>194</v>
      </c>
      <c r="D43" s="8" t="s">
        <v>195</v>
      </c>
      <c r="E43" s="8" t="s">
        <v>196</v>
      </c>
      <c r="F43" s="8" t="n">
        <v>91</v>
      </c>
    </row>
    <row r="44" customFormat="false" ht="15" hidden="false" customHeight="false" outlineLevel="0" collapsed="false">
      <c r="A44" s="8" t="n">
        <v>43</v>
      </c>
      <c r="B44" s="8" t="n">
        <v>2</v>
      </c>
      <c r="C44" s="8" t="s">
        <v>197</v>
      </c>
      <c r="D44" s="8" t="s">
        <v>198</v>
      </c>
      <c r="E44" s="8" t="s">
        <v>199</v>
      </c>
      <c r="F44" s="8" t="n">
        <v>92</v>
      </c>
    </row>
    <row r="45" customFormat="false" ht="15" hidden="false" customHeight="false" outlineLevel="0" collapsed="false">
      <c r="A45" s="8" t="n">
        <v>44</v>
      </c>
      <c r="B45" s="8" t="n">
        <v>3</v>
      </c>
      <c r="C45" s="8" t="s">
        <v>200</v>
      </c>
      <c r="D45" s="8" t="s">
        <v>111</v>
      </c>
      <c r="E45" s="8" t="s">
        <v>84</v>
      </c>
      <c r="F45" s="8" t="n">
        <v>1</v>
      </c>
    </row>
    <row r="46" customFormat="false" ht="15" hidden="false" customHeight="false" outlineLevel="0" collapsed="false">
      <c r="A46" s="8" t="n">
        <v>45</v>
      </c>
      <c r="B46" s="8" t="n">
        <v>3</v>
      </c>
      <c r="C46" s="8" t="s">
        <v>201</v>
      </c>
      <c r="D46" s="8" t="s">
        <v>108</v>
      </c>
      <c r="E46" s="8" t="s">
        <v>202</v>
      </c>
      <c r="F46" s="8" t="n">
        <v>2</v>
      </c>
    </row>
    <row r="47" customFormat="false" ht="15" hidden="false" customHeight="false" outlineLevel="0" collapsed="false">
      <c r="A47" s="8" t="n">
        <v>46</v>
      </c>
      <c r="B47" s="8" t="n">
        <v>3</v>
      </c>
      <c r="C47" s="8" t="s">
        <v>203</v>
      </c>
      <c r="D47" s="8" t="s">
        <v>140</v>
      </c>
      <c r="E47" s="8" t="s">
        <v>204</v>
      </c>
      <c r="F47" s="8" t="n">
        <v>3</v>
      </c>
    </row>
    <row r="48" customFormat="false" ht="15" hidden="false" customHeight="false" outlineLevel="0" collapsed="false">
      <c r="A48" s="8" t="n">
        <v>47</v>
      </c>
      <c r="B48" s="8" t="n">
        <v>3</v>
      </c>
      <c r="C48" s="8" t="s">
        <v>205</v>
      </c>
      <c r="D48" s="8" t="s">
        <v>108</v>
      </c>
      <c r="E48" s="8" t="s">
        <v>206</v>
      </c>
      <c r="F48" s="8" t="n">
        <v>4</v>
      </c>
    </row>
    <row r="49" customFormat="false" ht="15" hidden="false" customHeight="false" outlineLevel="0" collapsed="false">
      <c r="A49" s="8" t="n">
        <v>48</v>
      </c>
      <c r="B49" s="8" t="n">
        <v>3</v>
      </c>
      <c r="C49" s="8" t="s">
        <v>207</v>
      </c>
      <c r="D49" s="8" t="s">
        <v>140</v>
      </c>
      <c r="E49" s="8" t="s">
        <v>208</v>
      </c>
      <c r="F49" s="8" t="n">
        <v>5</v>
      </c>
    </row>
    <row r="50" customFormat="false" ht="15" hidden="false" customHeight="false" outlineLevel="0" collapsed="false">
      <c r="A50" s="8" t="n">
        <v>49</v>
      </c>
      <c r="B50" s="8" t="n">
        <v>3</v>
      </c>
      <c r="C50" s="8" t="s">
        <v>118</v>
      </c>
      <c r="D50" s="8" t="s">
        <v>108</v>
      </c>
      <c r="E50" s="8" t="s">
        <v>209</v>
      </c>
      <c r="F50" s="8" t="n">
        <v>11</v>
      </c>
    </row>
    <row r="51" customFormat="false" ht="15" hidden="false" customHeight="false" outlineLevel="0" collapsed="false">
      <c r="A51" s="8" t="n">
        <v>50</v>
      </c>
      <c r="B51" s="8" t="n">
        <v>3</v>
      </c>
      <c r="C51" s="8" t="s">
        <v>120</v>
      </c>
      <c r="D51" s="8" t="s">
        <v>108</v>
      </c>
      <c r="E51" s="8" t="s">
        <v>210</v>
      </c>
      <c r="F51" s="8" t="n">
        <v>12</v>
      </c>
    </row>
    <row r="52" customFormat="false" ht="15" hidden="false" customHeight="false" outlineLevel="0" collapsed="false">
      <c r="A52" s="8" t="n">
        <v>51</v>
      </c>
      <c r="B52" s="8" t="n">
        <v>3</v>
      </c>
      <c r="C52" s="8" t="s">
        <v>122</v>
      </c>
      <c r="D52" s="8" t="s">
        <v>108</v>
      </c>
      <c r="E52" s="8" t="s">
        <v>211</v>
      </c>
      <c r="F52" s="8" t="n">
        <v>13</v>
      </c>
    </row>
    <row r="53" customFormat="false" ht="15" hidden="false" customHeight="false" outlineLevel="0" collapsed="false">
      <c r="A53" s="8" t="n">
        <v>52</v>
      </c>
      <c r="B53" s="8" t="n">
        <v>3</v>
      </c>
      <c r="C53" s="8" t="s">
        <v>124</v>
      </c>
      <c r="D53" s="8" t="s">
        <v>108</v>
      </c>
      <c r="E53" s="8" t="s">
        <v>212</v>
      </c>
      <c r="F53" s="8" t="n">
        <v>14</v>
      </c>
    </row>
    <row r="54" customFormat="false" ht="15" hidden="false" customHeight="false" outlineLevel="0" collapsed="false">
      <c r="A54" s="8" t="n">
        <v>53</v>
      </c>
      <c r="B54" s="8" t="n">
        <v>3</v>
      </c>
      <c r="C54" s="8" t="s">
        <v>126</v>
      </c>
      <c r="D54" s="8" t="s">
        <v>108</v>
      </c>
      <c r="E54" s="8" t="s">
        <v>213</v>
      </c>
      <c r="F54" s="8" t="n">
        <v>15</v>
      </c>
    </row>
    <row r="55" customFormat="false" ht="15" hidden="false" customHeight="false" outlineLevel="0" collapsed="false">
      <c r="A55" s="8" t="n">
        <v>54</v>
      </c>
      <c r="B55" s="8" t="n">
        <v>3</v>
      </c>
      <c r="C55" s="8" t="s">
        <v>128</v>
      </c>
      <c r="D55" s="8" t="s">
        <v>108</v>
      </c>
      <c r="E55" s="8" t="s">
        <v>214</v>
      </c>
      <c r="F55" s="8" t="n">
        <v>16</v>
      </c>
    </row>
    <row r="56" customFormat="false" ht="15" hidden="false" customHeight="false" outlineLevel="0" collapsed="false">
      <c r="A56" s="8" t="n">
        <v>55</v>
      </c>
      <c r="B56" s="8" t="n">
        <v>3</v>
      </c>
      <c r="C56" s="8" t="s">
        <v>215</v>
      </c>
      <c r="D56" s="8" t="s">
        <v>192</v>
      </c>
      <c r="E56" s="8" t="s">
        <v>216</v>
      </c>
      <c r="F56" s="8" t="n">
        <v>30</v>
      </c>
    </row>
    <row r="57" customFormat="false" ht="15" hidden="false" customHeight="false" outlineLevel="0" collapsed="false">
      <c r="A57" s="8" t="n">
        <v>56</v>
      </c>
      <c r="B57" s="8" t="n">
        <v>3</v>
      </c>
      <c r="C57" s="8" t="s">
        <v>217</v>
      </c>
      <c r="D57" s="8" t="s">
        <v>192</v>
      </c>
      <c r="E57" s="8" t="s">
        <v>218</v>
      </c>
      <c r="F57" s="8" t="n">
        <v>31</v>
      </c>
    </row>
    <row r="58" customFormat="false" ht="15" hidden="false" customHeight="false" outlineLevel="0" collapsed="false">
      <c r="A58" s="8" t="n">
        <v>57</v>
      </c>
      <c r="B58" s="8" t="n">
        <v>3</v>
      </c>
      <c r="C58" s="8" t="s">
        <v>219</v>
      </c>
      <c r="D58" s="8" t="s">
        <v>192</v>
      </c>
      <c r="E58" s="8" t="s">
        <v>220</v>
      </c>
      <c r="F58" s="8" t="n">
        <v>32</v>
      </c>
    </row>
    <row r="59" customFormat="false" ht="15" hidden="false" customHeight="false" outlineLevel="0" collapsed="false">
      <c r="A59" s="8" t="n">
        <v>58</v>
      </c>
      <c r="B59" s="8" t="n">
        <v>3</v>
      </c>
      <c r="C59" s="8" t="s">
        <v>221</v>
      </c>
      <c r="D59" s="8" t="s">
        <v>192</v>
      </c>
      <c r="E59" s="8" t="s">
        <v>222</v>
      </c>
      <c r="F59" s="8" t="n">
        <v>33</v>
      </c>
    </row>
    <row r="60" customFormat="false" ht="15" hidden="false" customHeight="false" outlineLevel="0" collapsed="false">
      <c r="A60" s="8" t="n">
        <v>59</v>
      </c>
      <c r="B60" s="8" t="n">
        <v>3</v>
      </c>
      <c r="C60" s="8" t="s">
        <v>223</v>
      </c>
      <c r="D60" s="8" t="s">
        <v>192</v>
      </c>
      <c r="E60" s="8" t="s">
        <v>224</v>
      </c>
      <c r="F60" s="8" t="n">
        <v>34</v>
      </c>
    </row>
    <row r="61" customFormat="false" ht="15" hidden="false" customHeight="false" outlineLevel="0" collapsed="false">
      <c r="A61" s="8" t="n">
        <v>60</v>
      </c>
      <c r="B61" s="8" t="n">
        <v>3</v>
      </c>
      <c r="C61" s="8" t="s">
        <v>225</v>
      </c>
      <c r="D61" s="8" t="s">
        <v>143</v>
      </c>
      <c r="E61" s="8" t="s">
        <v>226</v>
      </c>
      <c r="F61" s="8" t="n">
        <v>50</v>
      </c>
    </row>
    <row r="62" customFormat="false" ht="15" hidden="false" customHeight="false" outlineLevel="0" collapsed="false">
      <c r="A62" s="8" t="n">
        <v>61</v>
      </c>
      <c r="B62" s="8" t="n">
        <v>3</v>
      </c>
      <c r="C62" s="8" t="s">
        <v>227</v>
      </c>
      <c r="D62" s="8" t="s">
        <v>143</v>
      </c>
      <c r="E62" s="8" t="s">
        <v>228</v>
      </c>
      <c r="F62" s="8" t="n">
        <v>51</v>
      </c>
    </row>
    <row r="63" customFormat="false" ht="15" hidden="false" customHeight="false" outlineLevel="0" collapsed="false">
      <c r="A63" s="8" t="n">
        <v>62</v>
      </c>
      <c r="B63" s="8" t="n">
        <v>3</v>
      </c>
      <c r="C63" s="8" t="s">
        <v>229</v>
      </c>
      <c r="D63" s="8" t="s">
        <v>143</v>
      </c>
      <c r="E63" s="8" t="s">
        <v>230</v>
      </c>
      <c r="F63" s="8" t="n">
        <v>52</v>
      </c>
    </row>
    <row r="64" customFormat="false" ht="15" hidden="false" customHeight="false" outlineLevel="0" collapsed="false">
      <c r="A64" s="8" t="n">
        <v>63</v>
      </c>
      <c r="B64" s="8" t="n">
        <v>3</v>
      </c>
      <c r="C64" s="8" t="s">
        <v>231</v>
      </c>
      <c r="D64" s="8" t="s">
        <v>143</v>
      </c>
      <c r="E64" s="8" t="s">
        <v>232</v>
      </c>
      <c r="F64" s="8" t="n">
        <v>53</v>
      </c>
    </row>
    <row r="65" customFormat="false" ht="15" hidden="false" customHeight="false" outlineLevel="0" collapsed="false">
      <c r="A65" s="8" t="n">
        <v>64</v>
      </c>
      <c r="B65" s="8" t="n">
        <v>3</v>
      </c>
      <c r="C65" s="8" t="s">
        <v>233</v>
      </c>
      <c r="D65" s="8" t="s">
        <v>143</v>
      </c>
      <c r="E65" s="8" t="s">
        <v>234</v>
      </c>
      <c r="F65" s="8" t="n">
        <v>54</v>
      </c>
    </row>
    <row r="66" customFormat="false" ht="15" hidden="false" customHeight="false" outlineLevel="0" collapsed="false">
      <c r="A66" s="8" t="n">
        <v>65</v>
      </c>
      <c r="B66" s="8" t="n">
        <v>3</v>
      </c>
      <c r="C66" s="8" t="s">
        <v>235</v>
      </c>
      <c r="D66" s="8" t="s">
        <v>143</v>
      </c>
      <c r="E66" s="8" t="s">
        <v>236</v>
      </c>
      <c r="F66" s="8" t="n">
        <v>55</v>
      </c>
    </row>
    <row r="67" customFormat="false" ht="15" hidden="false" customHeight="false" outlineLevel="0" collapsed="false">
      <c r="A67" s="8" t="n">
        <v>66</v>
      </c>
      <c r="B67" s="8" t="n">
        <v>3</v>
      </c>
      <c r="C67" s="8" t="s">
        <v>237</v>
      </c>
      <c r="D67" s="8" t="s">
        <v>143</v>
      </c>
      <c r="E67" s="8" t="s">
        <v>238</v>
      </c>
      <c r="F67" s="8" t="n">
        <v>56</v>
      </c>
    </row>
    <row r="68" customFormat="false" ht="15" hidden="false" customHeight="false" outlineLevel="0" collapsed="false">
      <c r="A68" s="8" t="n">
        <v>67</v>
      </c>
      <c r="B68" s="8" t="n">
        <v>3</v>
      </c>
      <c r="C68" s="8" t="s">
        <v>239</v>
      </c>
      <c r="D68" s="8" t="s">
        <v>143</v>
      </c>
      <c r="E68" s="8" t="s">
        <v>240</v>
      </c>
      <c r="F68" s="8" t="n">
        <v>57</v>
      </c>
    </row>
    <row r="69" customFormat="false" ht="15" hidden="false" customHeight="false" outlineLevel="0" collapsed="false">
      <c r="A69" s="8" t="n">
        <v>68</v>
      </c>
      <c r="B69" s="8" t="n">
        <v>3</v>
      </c>
      <c r="C69" s="8" t="s">
        <v>241</v>
      </c>
      <c r="D69" s="8" t="s">
        <v>143</v>
      </c>
      <c r="E69" s="8" t="s">
        <v>242</v>
      </c>
      <c r="F69" s="8" t="n">
        <v>58</v>
      </c>
    </row>
    <row r="70" customFormat="false" ht="15" hidden="false" customHeight="false" outlineLevel="0" collapsed="false">
      <c r="A70" s="8" t="n">
        <v>69</v>
      </c>
      <c r="B70" s="8" t="n">
        <v>3</v>
      </c>
      <c r="C70" s="8" t="s">
        <v>243</v>
      </c>
      <c r="D70" s="8" t="s">
        <v>143</v>
      </c>
      <c r="E70" s="8" t="s">
        <v>244</v>
      </c>
      <c r="F70" s="8" t="n">
        <v>59</v>
      </c>
    </row>
    <row r="71" customFormat="false" ht="15" hidden="false" customHeight="false" outlineLevel="0" collapsed="false">
      <c r="A71" s="8" t="n">
        <v>70</v>
      </c>
      <c r="B71" s="8" t="n">
        <v>4</v>
      </c>
      <c r="C71" s="8" t="s">
        <v>115</v>
      </c>
      <c r="D71" s="8" t="s">
        <v>111</v>
      </c>
      <c r="E71" s="8" t="s">
        <v>89</v>
      </c>
      <c r="F71" s="8" t="n">
        <v>1</v>
      </c>
    </row>
    <row r="72" customFormat="false" ht="15" hidden="false" customHeight="false" outlineLevel="0" collapsed="false">
      <c r="A72" s="8" t="n">
        <v>71</v>
      </c>
      <c r="B72" s="8" t="n">
        <v>4</v>
      </c>
      <c r="C72" s="8" t="s">
        <v>118</v>
      </c>
      <c r="D72" s="8" t="s">
        <v>108</v>
      </c>
      <c r="E72" s="8" t="s">
        <v>245</v>
      </c>
      <c r="F72" s="8" t="n">
        <v>11</v>
      </c>
    </row>
    <row r="73" customFormat="false" ht="15" hidden="false" customHeight="false" outlineLevel="0" collapsed="false">
      <c r="A73" s="8" t="n">
        <v>72</v>
      </c>
      <c r="B73" s="8" t="n">
        <v>4</v>
      </c>
      <c r="C73" s="8" t="s">
        <v>120</v>
      </c>
      <c r="D73" s="8" t="s">
        <v>108</v>
      </c>
      <c r="E73" s="8" t="s">
        <v>246</v>
      </c>
      <c r="F73" s="8" t="n">
        <v>12</v>
      </c>
    </row>
    <row r="74" customFormat="false" ht="15" hidden="false" customHeight="false" outlineLevel="0" collapsed="false">
      <c r="A74" s="8" t="n">
        <v>73</v>
      </c>
      <c r="B74" s="8" t="n">
        <v>4</v>
      </c>
      <c r="C74" s="8" t="s">
        <v>122</v>
      </c>
      <c r="D74" s="8" t="s">
        <v>108</v>
      </c>
      <c r="E74" s="8" t="s">
        <v>247</v>
      </c>
      <c r="F74" s="8" t="n">
        <v>13</v>
      </c>
    </row>
    <row r="75" customFormat="false" ht="15" hidden="false" customHeight="false" outlineLevel="0" collapsed="false">
      <c r="A75" s="8" t="n">
        <v>74</v>
      </c>
      <c r="B75" s="8" t="n">
        <v>4</v>
      </c>
      <c r="C75" s="8" t="s">
        <v>124</v>
      </c>
      <c r="D75" s="8" t="s">
        <v>108</v>
      </c>
      <c r="E75" s="8" t="s">
        <v>248</v>
      </c>
      <c r="F75" s="8" t="n">
        <v>14</v>
      </c>
    </row>
    <row r="76" customFormat="false" ht="15" hidden="false" customHeight="false" outlineLevel="0" collapsed="false">
      <c r="A76" s="8" t="n">
        <v>75</v>
      </c>
      <c r="B76" s="8" t="n">
        <v>4</v>
      </c>
      <c r="C76" s="8" t="s">
        <v>126</v>
      </c>
      <c r="D76" s="8" t="s">
        <v>108</v>
      </c>
      <c r="E76" s="8" t="s">
        <v>249</v>
      </c>
      <c r="F76" s="8" t="n">
        <v>15</v>
      </c>
    </row>
    <row r="77" customFormat="false" ht="15" hidden="false" customHeight="false" outlineLevel="0" collapsed="false">
      <c r="A77" s="8" t="n">
        <v>76</v>
      </c>
      <c r="B77" s="8" t="n">
        <v>4</v>
      </c>
      <c r="C77" s="8" t="s">
        <v>128</v>
      </c>
      <c r="D77" s="8" t="s">
        <v>108</v>
      </c>
      <c r="E77" s="8" t="s">
        <v>250</v>
      </c>
      <c r="F77" s="8" t="n">
        <v>16</v>
      </c>
    </row>
    <row r="78" customFormat="false" ht="15" hidden="false" customHeight="false" outlineLevel="0" collapsed="false">
      <c r="A78" s="8" t="n">
        <v>77</v>
      </c>
      <c r="B78" s="8" t="n">
        <v>4</v>
      </c>
      <c r="C78" s="8" t="s">
        <v>251</v>
      </c>
      <c r="D78" s="8" t="s">
        <v>143</v>
      </c>
      <c r="E78" s="8" t="s">
        <v>252</v>
      </c>
      <c r="F78" s="8" t="n">
        <v>50</v>
      </c>
    </row>
    <row r="79" customFormat="false" ht="15" hidden="false" customHeight="false" outlineLevel="0" collapsed="false">
      <c r="A79" s="8" t="n">
        <v>78</v>
      </c>
      <c r="B79" s="8" t="n">
        <v>4</v>
      </c>
      <c r="C79" s="8" t="s">
        <v>253</v>
      </c>
      <c r="D79" s="8" t="s">
        <v>143</v>
      </c>
      <c r="E79" s="8" t="s">
        <v>254</v>
      </c>
      <c r="F79" s="8" t="n">
        <v>51</v>
      </c>
    </row>
    <row r="80" customFormat="false" ht="15" hidden="false" customHeight="false" outlineLevel="0" collapsed="false">
      <c r="A80" s="8" t="n">
        <v>79</v>
      </c>
      <c r="B80" s="8" t="n">
        <v>4</v>
      </c>
      <c r="C80" s="8" t="s">
        <v>255</v>
      </c>
      <c r="D80" s="8" t="s">
        <v>143</v>
      </c>
      <c r="E80" s="8" t="s">
        <v>256</v>
      </c>
      <c r="F80" s="8" t="n">
        <v>52</v>
      </c>
    </row>
    <row r="81" customFormat="false" ht="15" hidden="false" customHeight="false" outlineLevel="0" collapsed="false">
      <c r="A81" s="8" t="n">
        <v>80</v>
      </c>
      <c r="B81" s="8" t="n">
        <v>4</v>
      </c>
      <c r="C81" s="8" t="s">
        <v>257</v>
      </c>
      <c r="D81" s="8" t="s">
        <v>143</v>
      </c>
      <c r="E81" s="8" t="s">
        <v>258</v>
      </c>
      <c r="F81" s="8" t="n">
        <v>53</v>
      </c>
    </row>
    <row r="82" customFormat="false" ht="15" hidden="false" customHeight="false" outlineLevel="0" collapsed="false">
      <c r="A82" s="8" t="n">
        <v>81</v>
      </c>
      <c r="B82" s="8" t="n">
        <v>4</v>
      </c>
      <c r="C82" s="8" t="s">
        <v>259</v>
      </c>
      <c r="D82" s="8" t="s">
        <v>143</v>
      </c>
      <c r="E82" s="8" t="s">
        <v>260</v>
      </c>
      <c r="F82" s="8" t="n">
        <v>54</v>
      </c>
    </row>
    <row r="83" customFormat="false" ht="15" hidden="false" customHeight="false" outlineLevel="0" collapsed="false">
      <c r="A83" s="8" t="n">
        <v>82</v>
      </c>
      <c r="B83" s="8" t="n">
        <v>4</v>
      </c>
      <c r="C83" s="8" t="s">
        <v>261</v>
      </c>
      <c r="D83" s="8" t="s">
        <v>143</v>
      </c>
      <c r="E83" s="8" t="s">
        <v>262</v>
      </c>
      <c r="F83" s="8" t="n">
        <v>55</v>
      </c>
    </row>
    <row r="84" customFormat="false" ht="15" hidden="false" customHeight="false" outlineLevel="0" collapsed="false">
      <c r="A84" s="8" t="n">
        <v>83</v>
      </c>
      <c r="B84" s="8" t="n">
        <v>4</v>
      </c>
      <c r="C84" s="8" t="s">
        <v>263</v>
      </c>
      <c r="D84" s="8" t="s">
        <v>143</v>
      </c>
      <c r="E84" s="8" t="s">
        <v>264</v>
      </c>
      <c r="F84" s="8" t="n">
        <v>56</v>
      </c>
    </row>
    <row r="85" customFormat="false" ht="15" hidden="false" customHeight="false" outlineLevel="0" collapsed="false">
      <c r="A85" s="8" t="n">
        <v>84</v>
      </c>
      <c r="B85" s="8" t="n">
        <v>4</v>
      </c>
      <c r="C85" s="8" t="s">
        <v>265</v>
      </c>
      <c r="D85" s="8" t="s">
        <v>143</v>
      </c>
      <c r="E85" s="8" t="s">
        <v>266</v>
      </c>
      <c r="F85" s="8" t="n">
        <v>57</v>
      </c>
    </row>
    <row r="86" customFormat="false" ht="15" hidden="false" customHeight="false" outlineLevel="0" collapsed="false">
      <c r="A86" s="8" t="n">
        <v>85</v>
      </c>
      <c r="B86" s="8" t="n">
        <v>4</v>
      </c>
      <c r="C86" s="8" t="s">
        <v>267</v>
      </c>
      <c r="D86" s="8" t="s">
        <v>143</v>
      </c>
      <c r="E86" s="8" t="s">
        <v>268</v>
      </c>
      <c r="F86" s="8" t="n">
        <v>58</v>
      </c>
    </row>
    <row r="87" customFormat="false" ht="15" hidden="false" customHeight="false" outlineLevel="0" collapsed="false">
      <c r="A87" s="8" t="n">
        <v>86</v>
      </c>
      <c r="B87" s="8" t="n">
        <v>4</v>
      </c>
      <c r="C87" s="8" t="s">
        <v>269</v>
      </c>
      <c r="D87" s="8" t="s">
        <v>143</v>
      </c>
      <c r="E87" s="8" t="s">
        <v>270</v>
      </c>
      <c r="F87" s="8" t="n">
        <v>59</v>
      </c>
    </row>
    <row r="88" customFormat="false" ht="15" hidden="false" customHeight="false" outlineLevel="0" collapsed="false">
      <c r="A88" s="8" t="n">
        <v>87</v>
      </c>
      <c r="B88" s="8" t="n">
        <v>4</v>
      </c>
      <c r="C88" s="8" t="s">
        <v>271</v>
      </c>
      <c r="D88" s="8" t="s">
        <v>143</v>
      </c>
      <c r="E88" s="8" t="s">
        <v>272</v>
      </c>
      <c r="F88" s="8" t="n">
        <v>60</v>
      </c>
    </row>
    <row r="89" customFormat="false" ht="15" hidden="false" customHeight="false" outlineLevel="0" collapsed="false">
      <c r="A89" s="8" t="n">
        <v>88</v>
      </c>
      <c r="B89" s="8" t="n">
        <v>4</v>
      </c>
      <c r="C89" s="8" t="s">
        <v>273</v>
      </c>
      <c r="D89" s="8" t="s">
        <v>143</v>
      </c>
      <c r="E89" s="8" t="s">
        <v>274</v>
      </c>
      <c r="F89" s="8" t="n">
        <v>61</v>
      </c>
    </row>
    <row r="90" customFormat="false" ht="15" hidden="false" customHeight="false" outlineLevel="0" collapsed="false">
      <c r="A90" s="8" t="n">
        <v>89</v>
      </c>
      <c r="B90" s="8" t="n">
        <v>4</v>
      </c>
      <c r="C90" s="8" t="s">
        <v>275</v>
      </c>
      <c r="D90" s="8" t="s">
        <v>143</v>
      </c>
      <c r="E90" s="8" t="s">
        <v>276</v>
      </c>
      <c r="F90" s="8" t="n">
        <v>62</v>
      </c>
    </row>
    <row r="91" customFormat="false" ht="15" hidden="false" customHeight="false" outlineLevel="0" collapsed="false">
      <c r="A91" s="8" t="n">
        <v>90</v>
      </c>
      <c r="B91" s="8" t="n">
        <v>4</v>
      </c>
      <c r="C91" s="8" t="s">
        <v>277</v>
      </c>
      <c r="D91" s="8" t="s">
        <v>143</v>
      </c>
      <c r="E91" s="8" t="s">
        <v>278</v>
      </c>
      <c r="F91" s="8" t="n">
        <v>63</v>
      </c>
    </row>
    <row r="92" customFormat="false" ht="15" hidden="false" customHeight="false" outlineLevel="0" collapsed="false">
      <c r="A92" s="8" t="n">
        <v>91</v>
      </c>
      <c r="B92" s="8" t="n">
        <v>4</v>
      </c>
      <c r="C92" s="8" t="s">
        <v>279</v>
      </c>
      <c r="D92" s="8" t="s">
        <v>143</v>
      </c>
      <c r="E92" s="8" t="s">
        <v>280</v>
      </c>
      <c r="F92" s="8" t="n">
        <v>64</v>
      </c>
    </row>
    <row r="93" customFormat="false" ht="15" hidden="false" customHeight="false" outlineLevel="0" collapsed="false">
      <c r="A93" s="8" t="n">
        <v>92</v>
      </c>
      <c r="B93" s="8" t="n">
        <v>4</v>
      </c>
      <c r="C93" s="8" t="s">
        <v>281</v>
      </c>
      <c r="D93" s="8" t="s">
        <v>143</v>
      </c>
      <c r="E93" s="8" t="s">
        <v>282</v>
      </c>
      <c r="F93" s="8" t="n">
        <v>65</v>
      </c>
    </row>
    <row r="94" customFormat="false" ht="15" hidden="false" customHeight="false" outlineLevel="0" collapsed="false">
      <c r="A94" s="8" t="n">
        <v>93</v>
      </c>
      <c r="B94" s="8" t="n">
        <v>4</v>
      </c>
      <c r="C94" s="8" t="s">
        <v>283</v>
      </c>
      <c r="D94" s="8" t="s">
        <v>143</v>
      </c>
      <c r="E94" s="8" t="s">
        <v>284</v>
      </c>
      <c r="F94" s="8" t="n">
        <v>66</v>
      </c>
    </row>
    <row r="95" customFormat="false" ht="15" hidden="false" customHeight="false" outlineLevel="0" collapsed="false">
      <c r="A95" s="8" t="n">
        <v>94</v>
      </c>
      <c r="B95" s="8" t="n">
        <v>4</v>
      </c>
      <c r="C95" s="8" t="s">
        <v>285</v>
      </c>
      <c r="D95" s="8" t="s">
        <v>143</v>
      </c>
      <c r="E95" s="8" t="s">
        <v>286</v>
      </c>
      <c r="F95" s="8" t="n">
        <v>67</v>
      </c>
    </row>
    <row r="96" customFormat="false" ht="15" hidden="false" customHeight="false" outlineLevel="0" collapsed="false">
      <c r="A96" s="8" t="n">
        <v>95</v>
      </c>
      <c r="B96" s="8" t="n">
        <v>4</v>
      </c>
      <c r="C96" s="8" t="s">
        <v>287</v>
      </c>
      <c r="D96" s="8" t="s">
        <v>143</v>
      </c>
      <c r="E96" s="8" t="s">
        <v>288</v>
      </c>
      <c r="F96" s="8" t="n">
        <v>68</v>
      </c>
    </row>
    <row r="97" customFormat="false" ht="15" hidden="false" customHeight="false" outlineLevel="0" collapsed="false">
      <c r="A97" s="8" t="n">
        <v>96</v>
      </c>
      <c r="B97" s="8" t="n">
        <v>4</v>
      </c>
      <c r="C97" s="8" t="s">
        <v>289</v>
      </c>
      <c r="D97" s="8" t="s">
        <v>143</v>
      </c>
      <c r="E97" s="8" t="s">
        <v>290</v>
      </c>
      <c r="F97" s="8" t="n">
        <v>69</v>
      </c>
    </row>
    <row r="98" customFormat="false" ht="15" hidden="false" customHeight="false" outlineLevel="0" collapsed="false">
      <c r="A98" s="8" t="n">
        <v>97</v>
      </c>
      <c r="B98" s="8" t="n">
        <v>4</v>
      </c>
      <c r="C98" s="8" t="s">
        <v>291</v>
      </c>
      <c r="D98" s="8" t="s">
        <v>192</v>
      </c>
      <c r="E98" s="8" t="s">
        <v>292</v>
      </c>
      <c r="F98" s="8" t="n">
        <v>90</v>
      </c>
    </row>
    <row r="99" customFormat="false" ht="15" hidden="false" customHeight="false" outlineLevel="0" collapsed="false">
      <c r="A99" s="8" t="n">
        <v>98</v>
      </c>
      <c r="B99" s="8" t="n">
        <v>4</v>
      </c>
      <c r="C99" s="8" t="s">
        <v>293</v>
      </c>
      <c r="D99" s="8" t="s">
        <v>192</v>
      </c>
      <c r="E99" s="8" t="s">
        <v>294</v>
      </c>
      <c r="F99" s="8" t="n">
        <v>91</v>
      </c>
    </row>
    <row r="100" customFormat="false" ht="15" hidden="false" customHeight="false" outlineLevel="0" collapsed="false">
      <c r="A100" s="8" t="n">
        <v>99</v>
      </c>
      <c r="B100" s="8" t="n">
        <v>4</v>
      </c>
      <c r="C100" s="8" t="s">
        <v>295</v>
      </c>
      <c r="D100" s="8" t="s">
        <v>192</v>
      </c>
      <c r="E100" s="8" t="s">
        <v>296</v>
      </c>
      <c r="F100" s="8" t="n">
        <v>92</v>
      </c>
    </row>
    <row r="101" customFormat="false" ht="15" hidden="false" customHeight="false" outlineLevel="0" collapsed="false">
      <c r="A101" s="8" t="n">
        <v>100</v>
      </c>
      <c r="B101" s="8" t="n">
        <v>5</v>
      </c>
      <c r="C101" s="8" t="s">
        <v>297</v>
      </c>
      <c r="D101" s="8" t="s">
        <v>108</v>
      </c>
      <c r="E101" s="8" t="s">
        <v>298</v>
      </c>
      <c r="F101" s="8" t="n">
        <v>1</v>
      </c>
    </row>
    <row r="102" customFormat="false" ht="15" hidden="false" customHeight="false" outlineLevel="0" collapsed="false">
      <c r="A102" s="8" t="n">
        <v>101</v>
      </c>
      <c r="B102" s="8" t="n">
        <v>5</v>
      </c>
      <c r="C102" s="8" t="s">
        <v>299</v>
      </c>
      <c r="D102" s="8" t="s">
        <v>108</v>
      </c>
      <c r="E102" s="8" t="s">
        <v>300</v>
      </c>
      <c r="F102" s="8" t="n">
        <v>10</v>
      </c>
    </row>
    <row r="103" customFormat="false" ht="15" hidden="false" customHeight="false" outlineLevel="0" collapsed="false">
      <c r="A103" s="8" t="n">
        <v>102</v>
      </c>
      <c r="B103" s="8" t="n">
        <v>5</v>
      </c>
      <c r="C103" s="8" t="s">
        <v>301</v>
      </c>
      <c r="D103" s="8" t="s">
        <v>108</v>
      </c>
      <c r="E103" s="8" t="s">
        <v>302</v>
      </c>
      <c r="F103" s="8" t="n">
        <v>11</v>
      </c>
    </row>
    <row r="104" customFormat="false" ht="15" hidden="false" customHeight="false" outlineLevel="0" collapsed="false">
      <c r="A104" s="8" t="n">
        <v>103</v>
      </c>
      <c r="B104" s="8" t="n">
        <v>5</v>
      </c>
      <c r="C104" s="8" t="s">
        <v>303</v>
      </c>
      <c r="D104" s="8" t="s">
        <v>108</v>
      </c>
      <c r="E104" s="8" t="s">
        <v>304</v>
      </c>
      <c r="F104" s="8" t="n">
        <v>12</v>
      </c>
    </row>
    <row r="105" customFormat="false" ht="15" hidden="false" customHeight="false" outlineLevel="0" collapsed="false">
      <c r="A105" s="8" t="n">
        <v>104</v>
      </c>
      <c r="B105" s="8" t="n">
        <v>5</v>
      </c>
      <c r="C105" s="8" t="s">
        <v>305</v>
      </c>
      <c r="D105" s="8" t="s">
        <v>108</v>
      </c>
      <c r="E105" s="8" t="s">
        <v>306</v>
      </c>
      <c r="F105" s="8" t="n">
        <v>13</v>
      </c>
    </row>
    <row r="106" customFormat="false" ht="15" hidden="false" customHeight="false" outlineLevel="0" collapsed="false">
      <c r="A106" s="8" t="n">
        <v>105</v>
      </c>
      <c r="B106" s="8" t="n">
        <v>5</v>
      </c>
      <c r="C106" s="8" t="s">
        <v>307</v>
      </c>
      <c r="D106" s="8" t="s">
        <v>108</v>
      </c>
      <c r="E106" s="8" t="s">
        <v>308</v>
      </c>
      <c r="F106" s="8" t="n">
        <v>14</v>
      </c>
    </row>
    <row r="107" customFormat="false" ht="15" hidden="false" customHeight="false" outlineLevel="0" collapsed="false">
      <c r="A107" s="8" t="n">
        <v>106</v>
      </c>
      <c r="B107" s="8" t="n">
        <v>5</v>
      </c>
      <c r="C107" s="8" t="s">
        <v>309</v>
      </c>
      <c r="D107" s="8" t="s">
        <v>108</v>
      </c>
      <c r="E107" s="8" t="s">
        <v>310</v>
      </c>
      <c r="F107" s="8" t="n">
        <v>15</v>
      </c>
    </row>
    <row r="108" customFormat="false" ht="15" hidden="false" customHeight="false" outlineLevel="0" collapsed="false">
      <c r="A108" s="8" t="n">
        <v>107</v>
      </c>
      <c r="B108" s="8" t="n">
        <v>5</v>
      </c>
      <c r="C108" s="8" t="s">
        <v>311</v>
      </c>
      <c r="D108" s="8" t="s">
        <v>108</v>
      </c>
      <c r="E108" s="8" t="s">
        <v>312</v>
      </c>
      <c r="F108" s="8" t="n">
        <v>16</v>
      </c>
    </row>
    <row r="109" customFormat="false" ht="15" hidden="false" customHeight="false" outlineLevel="0" collapsed="false">
      <c r="A109" s="8" t="n">
        <v>108</v>
      </c>
      <c r="B109" s="8" t="n">
        <v>5</v>
      </c>
      <c r="C109" s="8" t="s">
        <v>313</v>
      </c>
      <c r="D109" s="8" t="s">
        <v>108</v>
      </c>
      <c r="E109" s="8" t="s">
        <v>314</v>
      </c>
      <c r="F109" s="8" t="n">
        <v>17</v>
      </c>
    </row>
    <row r="110" customFormat="false" ht="15" hidden="false" customHeight="false" outlineLevel="0" collapsed="false">
      <c r="A110" s="8" t="n">
        <v>109</v>
      </c>
      <c r="B110" s="8" t="n">
        <v>5</v>
      </c>
      <c r="C110" s="8" t="s">
        <v>315</v>
      </c>
      <c r="D110" s="8" t="s">
        <v>108</v>
      </c>
      <c r="E110" s="8" t="s">
        <v>316</v>
      </c>
      <c r="F110" s="8" t="n">
        <v>18</v>
      </c>
    </row>
    <row r="111" customFormat="false" ht="15" hidden="false" customHeight="false" outlineLevel="0" collapsed="false">
      <c r="A111" s="8" t="n">
        <v>110</v>
      </c>
      <c r="B111" s="8" t="n">
        <v>6</v>
      </c>
      <c r="C111" s="8" t="s">
        <v>317</v>
      </c>
      <c r="D111" s="8" t="s">
        <v>111</v>
      </c>
      <c r="E111" s="8" t="s">
        <v>99</v>
      </c>
      <c r="F111" s="8" t="n">
        <v>1</v>
      </c>
    </row>
    <row r="112" customFormat="false" ht="15" hidden="false" customHeight="false" outlineLevel="0" collapsed="false">
      <c r="A112" s="8" t="n">
        <v>111</v>
      </c>
      <c r="B112" s="8" t="n">
        <v>6</v>
      </c>
      <c r="C112" s="8" t="s">
        <v>318</v>
      </c>
      <c r="D112" s="8" t="s">
        <v>108</v>
      </c>
      <c r="E112" s="8" t="s">
        <v>319</v>
      </c>
      <c r="F112" s="8" t="n">
        <v>2</v>
      </c>
    </row>
    <row r="113" customFormat="false" ht="15" hidden="false" customHeight="false" outlineLevel="0" collapsed="false">
      <c r="A113" s="8" t="n">
        <v>112</v>
      </c>
      <c r="B113" s="8" t="n">
        <v>6</v>
      </c>
      <c r="C113" s="8" t="s">
        <v>320</v>
      </c>
      <c r="D113" s="8" t="s">
        <v>143</v>
      </c>
      <c r="E113" s="8" t="s">
        <v>321</v>
      </c>
      <c r="F113" s="8" t="n">
        <v>50</v>
      </c>
    </row>
    <row r="114" customFormat="false" ht="15" hidden="false" customHeight="false" outlineLevel="0" collapsed="false">
      <c r="A114" s="8" t="n">
        <v>113</v>
      </c>
      <c r="B114" s="8" t="n">
        <v>6</v>
      </c>
      <c r="C114" s="8" t="s">
        <v>322</v>
      </c>
      <c r="D114" s="8" t="s">
        <v>143</v>
      </c>
      <c r="E114" s="8" t="s">
        <v>323</v>
      </c>
      <c r="F114" s="8" t="n">
        <v>51</v>
      </c>
    </row>
    <row r="115" customFormat="false" ht="15" hidden="false" customHeight="false" outlineLevel="0" collapsed="false">
      <c r="A115" s="8" t="n">
        <v>114</v>
      </c>
      <c r="B115" s="8" t="n">
        <v>6</v>
      </c>
      <c r="C115" s="8" t="s">
        <v>324</v>
      </c>
      <c r="D115" s="8" t="s">
        <v>143</v>
      </c>
      <c r="E115" s="8" t="s">
        <v>325</v>
      </c>
      <c r="F115" s="8" t="n">
        <v>52</v>
      </c>
    </row>
    <row r="116" customFormat="false" ht="15" hidden="false" customHeight="false" outlineLevel="0" collapsed="false">
      <c r="A116" s="8" t="n">
        <v>115</v>
      </c>
      <c r="B116" s="8" t="n">
        <v>6</v>
      </c>
      <c r="C116" s="8" t="s">
        <v>326</v>
      </c>
      <c r="D116" s="8" t="s">
        <v>143</v>
      </c>
      <c r="E116" s="8" t="s">
        <v>327</v>
      </c>
      <c r="F116" s="8" t="n">
        <v>53</v>
      </c>
    </row>
    <row r="117" customFormat="false" ht="15" hidden="false" customHeight="false" outlineLevel="0" collapsed="false">
      <c r="A117" s="8" t="n">
        <v>116</v>
      </c>
      <c r="B117" s="8" t="n">
        <v>6</v>
      </c>
      <c r="C117" s="8" t="s">
        <v>328</v>
      </c>
      <c r="D117" s="8" t="s">
        <v>143</v>
      </c>
      <c r="E117" s="8" t="s">
        <v>329</v>
      </c>
      <c r="F117" s="8" t="n">
        <v>54</v>
      </c>
    </row>
    <row r="118" customFormat="false" ht="15" hidden="false" customHeight="false" outlineLevel="0" collapsed="false">
      <c r="A118" s="8" t="n">
        <v>117</v>
      </c>
      <c r="B118" s="8" t="n">
        <v>6</v>
      </c>
      <c r="C118" s="8" t="s">
        <v>330</v>
      </c>
      <c r="D118" s="8" t="s">
        <v>143</v>
      </c>
      <c r="E118" s="8" t="s">
        <v>331</v>
      </c>
      <c r="F118" s="8" t="n">
        <v>55</v>
      </c>
    </row>
    <row r="119" customFormat="false" ht="15" hidden="false" customHeight="false" outlineLevel="0" collapsed="false">
      <c r="A119" s="8" t="n">
        <v>118</v>
      </c>
      <c r="B119" s="8" t="n">
        <v>6</v>
      </c>
      <c r="C119" s="8" t="s">
        <v>332</v>
      </c>
      <c r="D119" s="8" t="s">
        <v>143</v>
      </c>
      <c r="E119" s="8" t="s">
        <v>333</v>
      </c>
      <c r="F119" s="8" t="n">
        <v>56</v>
      </c>
    </row>
    <row r="120" customFormat="false" ht="15" hidden="false" customHeight="false" outlineLevel="0" collapsed="false">
      <c r="A120" s="8" t="n">
        <v>119</v>
      </c>
      <c r="B120" s="8" t="n">
        <v>6</v>
      </c>
      <c r="C120" s="8" t="s">
        <v>334</v>
      </c>
      <c r="D120" s="8" t="s">
        <v>198</v>
      </c>
      <c r="E120" s="8"/>
      <c r="F120" s="8" t="n">
        <v>99</v>
      </c>
    </row>
  </sheetData>
  <autoFilter ref="A1:F120"/>
  <dataValidations count="1">
    <dataValidation allowBlank="true" error="Pick a value from the list" errorStyle="stop" errorTitle="Invalid value" operator="between" showDropDown="false" showErrorMessage="false" showInputMessage="false" sqref="D2:D1120" type="list">
      <formula1>"Coursepack,Lab Coursepack,Syllabus,Course Outline,Lecture Slides,Lab Manual,Lab Procedure,Solutions,Appendix,Website,Other"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3" t="s">
        <v>335</v>
      </c>
      <c r="B1" s="3" t="s">
        <v>2</v>
      </c>
      <c r="C1" s="3" t="s">
        <v>336</v>
      </c>
      <c r="D1" s="3" t="s">
        <v>337</v>
      </c>
      <c r="E1" s="3" t="s">
        <v>338</v>
      </c>
      <c r="F1" s="3" t="s">
        <v>339</v>
      </c>
      <c r="G1" s="3" t="s">
        <v>60</v>
      </c>
    </row>
    <row r="2" customFormat="false" ht="15" hidden="false" customHeight="false" outlineLevel="0" collapsed="false">
      <c r="A2" s="8" t="n">
        <v>1</v>
      </c>
      <c r="B2" s="8" t="n">
        <v>1</v>
      </c>
      <c r="C2" s="8" t="s">
        <v>340</v>
      </c>
      <c r="D2" s="8" t="s">
        <v>341</v>
      </c>
      <c r="E2" s="8" t="n">
        <v>22</v>
      </c>
      <c r="F2" s="8" t="n">
        <v>0</v>
      </c>
      <c r="G2" s="8" t="s">
        <v>342</v>
      </c>
    </row>
    <row r="3" customFormat="false" ht="15" hidden="false" customHeight="false" outlineLevel="0" collapsed="false">
      <c r="A3" s="8" t="n">
        <v>2</v>
      </c>
      <c r="B3" s="8" t="n">
        <v>1</v>
      </c>
      <c r="C3" s="8" t="s">
        <v>343</v>
      </c>
      <c r="D3" s="8" t="s">
        <v>344</v>
      </c>
      <c r="E3" s="8" t="n">
        <v>12</v>
      </c>
      <c r="F3" s="8" t="n">
        <v>0</v>
      </c>
      <c r="G3" s="8" t="s">
        <v>345</v>
      </c>
    </row>
    <row r="4" customFormat="false" ht="15" hidden="false" customHeight="false" outlineLevel="0" collapsed="false">
      <c r="A4" s="8" t="n">
        <v>3</v>
      </c>
      <c r="B4" s="8" t="n">
        <v>1</v>
      </c>
      <c r="C4" s="8" t="s">
        <v>340</v>
      </c>
      <c r="D4" s="8" t="s">
        <v>346</v>
      </c>
      <c r="E4" s="8" t="n">
        <v>22</v>
      </c>
      <c r="F4" s="8" t="n">
        <v>0</v>
      </c>
      <c r="G4" s="8" t="s">
        <v>347</v>
      </c>
    </row>
    <row r="5" customFormat="false" ht="15" hidden="false" customHeight="false" outlineLevel="0" collapsed="false">
      <c r="A5" s="8" t="n">
        <v>4</v>
      </c>
      <c r="B5" s="8" t="n">
        <v>1</v>
      </c>
      <c r="C5" s="8" t="s">
        <v>340</v>
      </c>
      <c r="D5" s="8" t="s">
        <v>348</v>
      </c>
      <c r="E5" s="8" t="n">
        <v>22</v>
      </c>
      <c r="F5" s="8" t="n">
        <v>0</v>
      </c>
      <c r="G5" s="8" t="s">
        <v>349</v>
      </c>
    </row>
    <row r="6" customFormat="false" ht="15" hidden="false" customHeight="false" outlineLevel="0" collapsed="false">
      <c r="A6" s="8" t="n">
        <v>5</v>
      </c>
      <c r="B6" s="8" t="n">
        <v>1</v>
      </c>
      <c r="C6" s="8" t="s">
        <v>340</v>
      </c>
      <c r="D6" s="8" t="s">
        <v>350</v>
      </c>
      <c r="E6" s="8" t="n">
        <v>22</v>
      </c>
      <c r="F6" s="8" t="n">
        <v>0</v>
      </c>
      <c r="G6" s="8" t="s">
        <v>351</v>
      </c>
    </row>
    <row r="7" customFormat="false" ht="15" hidden="false" customHeight="false" outlineLevel="0" collapsed="false">
      <c r="A7" s="8" t="n">
        <v>6</v>
      </c>
      <c r="B7" s="8" t="n">
        <v>2</v>
      </c>
      <c r="C7" s="8" t="s">
        <v>343</v>
      </c>
      <c r="D7" s="8" t="s">
        <v>352</v>
      </c>
      <c r="E7" s="8" t="n">
        <v>5</v>
      </c>
      <c r="F7" s="8" t="n">
        <v>0</v>
      </c>
      <c r="G7" s="8" t="s">
        <v>353</v>
      </c>
    </row>
    <row r="8" customFormat="false" ht="15" hidden="false" customHeight="false" outlineLevel="0" collapsed="false">
      <c r="A8" s="8" t="n">
        <v>7</v>
      </c>
      <c r="B8" s="8" t="n">
        <v>2</v>
      </c>
      <c r="C8" s="8" t="s">
        <v>343</v>
      </c>
      <c r="D8" s="8" t="s">
        <v>354</v>
      </c>
      <c r="E8" s="8" t="n">
        <v>7.5</v>
      </c>
      <c r="F8" s="8" t="n">
        <v>0</v>
      </c>
      <c r="G8" s="8" t="s">
        <v>355</v>
      </c>
    </row>
    <row r="9" customFormat="false" ht="15" hidden="false" customHeight="false" outlineLevel="0" collapsed="false">
      <c r="A9" s="8" t="n">
        <v>8</v>
      </c>
      <c r="B9" s="8" t="n">
        <v>2</v>
      </c>
      <c r="C9" s="8" t="s">
        <v>343</v>
      </c>
      <c r="D9" s="8" t="s">
        <v>356</v>
      </c>
      <c r="E9" s="8" t="n">
        <v>7.5</v>
      </c>
      <c r="F9" s="8" t="n">
        <v>0</v>
      </c>
      <c r="G9" s="8" t="s">
        <v>357</v>
      </c>
    </row>
    <row r="10" customFormat="false" ht="15" hidden="false" customHeight="false" outlineLevel="0" collapsed="false">
      <c r="A10" s="8" t="n">
        <v>9</v>
      </c>
      <c r="B10" s="8" t="n">
        <v>2</v>
      </c>
      <c r="C10" s="8" t="s">
        <v>340</v>
      </c>
      <c r="D10" s="8" t="s">
        <v>341</v>
      </c>
      <c r="E10" s="8" t="n">
        <v>15</v>
      </c>
      <c r="F10" s="8" t="n">
        <v>0</v>
      </c>
      <c r="G10" s="8" t="s">
        <v>353</v>
      </c>
    </row>
    <row r="11" customFormat="false" ht="15" hidden="false" customHeight="false" outlineLevel="0" collapsed="false">
      <c r="A11" s="8" t="n">
        <v>10</v>
      </c>
      <c r="B11" s="8" t="n">
        <v>2</v>
      </c>
      <c r="C11" s="8" t="s">
        <v>340</v>
      </c>
      <c r="D11" s="8" t="s">
        <v>346</v>
      </c>
      <c r="E11" s="8" t="n">
        <v>20</v>
      </c>
      <c r="F11" s="8" t="n">
        <v>0</v>
      </c>
      <c r="G11" s="8" t="s">
        <v>358</v>
      </c>
    </row>
    <row r="12" customFormat="false" ht="15" hidden="false" customHeight="false" outlineLevel="0" collapsed="false">
      <c r="A12" s="8" t="n">
        <v>11</v>
      </c>
      <c r="B12" s="8" t="n">
        <v>2</v>
      </c>
      <c r="C12" s="8" t="s">
        <v>340</v>
      </c>
      <c r="D12" s="8" t="s">
        <v>348</v>
      </c>
      <c r="E12" s="8" t="n">
        <v>20</v>
      </c>
      <c r="F12" s="8" t="n">
        <v>0</v>
      </c>
      <c r="G12" s="8" t="s">
        <v>359</v>
      </c>
    </row>
    <row r="13" customFormat="false" ht="15" hidden="false" customHeight="false" outlineLevel="0" collapsed="false">
      <c r="A13" s="8" t="n">
        <v>12</v>
      </c>
      <c r="B13" s="8" t="n">
        <v>2</v>
      </c>
      <c r="C13" s="8" t="s">
        <v>340</v>
      </c>
      <c r="D13" s="8" t="s">
        <v>350</v>
      </c>
      <c r="E13" s="8" t="n">
        <v>25</v>
      </c>
      <c r="F13" s="8" t="n">
        <v>0</v>
      </c>
      <c r="G13" s="8" t="s">
        <v>360</v>
      </c>
    </row>
    <row r="14" customFormat="false" ht="15" hidden="false" customHeight="false" outlineLevel="0" collapsed="false">
      <c r="A14" s="8" t="n">
        <v>13</v>
      </c>
      <c r="B14" s="8" t="n">
        <v>3</v>
      </c>
      <c r="C14" s="8" t="s">
        <v>343</v>
      </c>
      <c r="D14" s="8" t="s">
        <v>361</v>
      </c>
      <c r="E14" s="8" t="n">
        <v>5</v>
      </c>
      <c r="F14" s="8" t="n">
        <v>0</v>
      </c>
      <c r="G14" s="8" t="s">
        <v>362</v>
      </c>
    </row>
    <row r="15" customFormat="false" ht="15" hidden="false" customHeight="false" outlineLevel="0" collapsed="false">
      <c r="A15" s="8" t="n">
        <v>14</v>
      </c>
      <c r="B15" s="8" t="n">
        <v>3</v>
      </c>
      <c r="C15" s="8" t="s">
        <v>343</v>
      </c>
      <c r="D15" s="8" t="s">
        <v>363</v>
      </c>
      <c r="E15" s="8" t="n">
        <v>7</v>
      </c>
      <c r="F15" s="8" t="n">
        <v>0</v>
      </c>
      <c r="G15" s="8" t="s">
        <v>364</v>
      </c>
    </row>
    <row r="16" customFormat="false" ht="15" hidden="false" customHeight="false" outlineLevel="0" collapsed="false">
      <c r="A16" s="8" t="n">
        <v>15</v>
      </c>
      <c r="B16" s="8" t="n">
        <v>3</v>
      </c>
      <c r="C16" s="8" t="s">
        <v>343</v>
      </c>
      <c r="D16" s="8" t="s">
        <v>365</v>
      </c>
      <c r="E16" s="8" t="n">
        <v>8</v>
      </c>
      <c r="F16" s="8" t="n">
        <v>0</v>
      </c>
      <c r="G16" s="8" t="s">
        <v>366</v>
      </c>
    </row>
    <row r="17" customFormat="false" ht="15" hidden="false" customHeight="false" outlineLevel="0" collapsed="false">
      <c r="A17" s="8" t="n">
        <v>16</v>
      </c>
      <c r="B17" s="8" t="n">
        <v>3</v>
      </c>
      <c r="C17" s="8" t="s">
        <v>340</v>
      </c>
      <c r="D17" s="8" t="s">
        <v>367</v>
      </c>
      <c r="E17" s="8" t="n">
        <v>10</v>
      </c>
      <c r="F17" s="8" t="n">
        <v>0</v>
      </c>
      <c r="G17" s="8" t="s">
        <v>368</v>
      </c>
    </row>
    <row r="18" customFormat="false" ht="15" hidden="false" customHeight="false" outlineLevel="0" collapsed="false">
      <c r="A18" s="8" t="n">
        <v>17</v>
      </c>
      <c r="B18" s="8" t="n">
        <v>3</v>
      </c>
      <c r="C18" s="8" t="s">
        <v>340</v>
      </c>
      <c r="D18" s="8" t="s">
        <v>369</v>
      </c>
      <c r="E18" s="8" t="n">
        <v>20</v>
      </c>
      <c r="F18" s="8" t="n">
        <v>0</v>
      </c>
      <c r="G18" s="8" t="s">
        <v>370</v>
      </c>
    </row>
    <row r="19" customFormat="false" ht="15" hidden="false" customHeight="false" outlineLevel="0" collapsed="false">
      <c r="A19" s="8" t="n">
        <v>18</v>
      </c>
      <c r="B19" s="8" t="n">
        <v>3</v>
      </c>
      <c r="C19" s="8" t="s">
        <v>340</v>
      </c>
      <c r="D19" s="8" t="s">
        <v>371</v>
      </c>
      <c r="E19" s="8" t="n">
        <v>25</v>
      </c>
      <c r="F19" s="8" t="n">
        <v>0</v>
      </c>
      <c r="G19" s="8" t="s">
        <v>372</v>
      </c>
    </row>
    <row r="20" customFormat="false" ht="15" hidden="false" customHeight="false" outlineLevel="0" collapsed="false">
      <c r="A20" s="8" t="n">
        <v>19</v>
      </c>
      <c r="B20" s="8" t="n">
        <v>3</v>
      </c>
      <c r="C20" s="8" t="s">
        <v>340</v>
      </c>
      <c r="D20" s="8" t="s">
        <v>373</v>
      </c>
      <c r="E20" s="8" t="n">
        <v>25</v>
      </c>
      <c r="F20" s="8" t="n">
        <v>0</v>
      </c>
      <c r="G20" s="8" t="s">
        <v>374</v>
      </c>
    </row>
    <row r="21" customFormat="false" ht="15" hidden="false" customHeight="false" outlineLevel="0" collapsed="false">
      <c r="A21" s="8" t="n">
        <v>20</v>
      </c>
      <c r="B21" s="8" t="n">
        <v>4</v>
      </c>
      <c r="C21" s="8" t="s">
        <v>340</v>
      </c>
      <c r="D21" s="8" t="s">
        <v>367</v>
      </c>
      <c r="E21" s="8" t="n">
        <v>10</v>
      </c>
      <c r="F21" s="8" t="n">
        <v>0</v>
      </c>
      <c r="G21" s="8" t="s">
        <v>375</v>
      </c>
    </row>
    <row r="22" customFormat="false" ht="15" hidden="false" customHeight="false" outlineLevel="0" collapsed="false">
      <c r="A22" s="8" t="n">
        <v>21</v>
      </c>
      <c r="B22" s="8" t="n">
        <v>4</v>
      </c>
      <c r="C22" s="8" t="s">
        <v>343</v>
      </c>
      <c r="D22" s="8" t="s">
        <v>376</v>
      </c>
      <c r="E22" s="8" t="n">
        <v>15</v>
      </c>
      <c r="F22" s="8" t="n">
        <v>0</v>
      </c>
      <c r="G22" s="8" t="s">
        <v>375</v>
      </c>
    </row>
    <row r="23" customFormat="false" ht="15" hidden="false" customHeight="false" outlineLevel="0" collapsed="false">
      <c r="A23" s="8" t="n">
        <v>22</v>
      </c>
      <c r="B23" s="8" t="n">
        <v>4</v>
      </c>
      <c r="C23" s="8" t="s">
        <v>343</v>
      </c>
      <c r="D23" s="8" t="s">
        <v>377</v>
      </c>
      <c r="E23" s="8" t="n">
        <v>10</v>
      </c>
      <c r="F23" s="8" t="n">
        <v>0</v>
      </c>
      <c r="G23" s="8" t="s">
        <v>378</v>
      </c>
    </row>
    <row r="24" customFormat="false" ht="15" hidden="false" customHeight="false" outlineLevel="0" collapsed="false">
      <c r="A24" s="8" t="n">
        <v>23</v>
      </c>
      <c r="B24" s="8" t="n">
        <v>4</v>
      </c>
      <c r="C24" s="8" t="s">
        <v>340</v>
      </c>
      <c r="D24" s="8" t="s">
        <v>379</v>
      </c>
      <c r="E24" s="8" t="n">
        <v>20</v>
      </c>
      <c r="F24" s="8" t="n">
        <v>0</v>
      </c>
      <c r="G24" s="8" t="s">
        <v>380</v>
      </c>
    </row>
    <row r="25" customFormat="false" ht="15" hidden="false" customHeight="false" outlineLevel="0" collapsed="false">
      <c r="A25" s="8" t="n">
        <v>24</v>
      </c>
      <c r="B25" s="8" t="n">
        <v>4</v>
      </c>
      <c r="C25" s="8" t="s">
        <v>340</v>
      </c>
      <c r="D25" s="8" t="s">
        <v>381</v>
      </c>
      <c r="E25" s="8" t="n">
        <v>20</v>
      </c>
      <c r="F25" s="8" t="n">
        <v>0</v>
      </c>
      <c r="G25" s="8" t="s">
        <v>382</v>
      </c>
    </row>
    <row r="26" customFormat="false" ht="15" hidden="false" customHeight="false" outlineLevel="0" collapsed="false">
      <c r="A26" s="8" t="n">
        <v>25</v>
      </c>
      <c r="B26" s="8" t="n">
        <v>4</v>
      </c>
      <c r="C26" s="8" t="s">
        <v>340</v>
      </c>
      <c r="D26" s="8" t="s">
        <v>383</v>
      </c>
      <c r="E26" s="8" t="n">
        <v>25</v>
      </c>
      <c r="F26" s="8" t="n">
        <v>0</v>
      </c>
      <c r="G26" s="8" t="s">
        <v>384</v>
      </c>
    </row>
    <row r="27" customFormat="false" ht="15" hidden="false" customHeight="false" outlineLevel="0" collapsed="false">
      <c r="A27" s="8" t="n">
        <v>26</v>
      </c>
      <c r="B27" s="8" t="n">
        <v>5</v>
      </c>
      <c r="C27" s="8" t="s">
        <v>340</v>
      </c>
      <c r="D27" s="8" t="s">
        <v>385</v>
      </c>
      <c r="E27" s="8" t="n">
        <v>80</v>
      </c>
      <c r="F27" s="8" t="n">
        <v>0</v>
      </c>
      <c r="G27" s="8" t="s">
        <v>386</v>
      </c>
    </row>
    <row r="28" customFormat="false" ht="15" hidden="false" customHeight="false" outlineLevel="0" collapsed="false">
      <c r="A28" s="8" t="n">
        <v>27</v>
      </c>
      <c r="B28" s="8" t="n">
        <v>5</v>
      </c>
      <c r="C28" s="8" t="s">
        <v>343</v>
      </c>
      <c r="D28" s="8" t="s">
        <v>387</v>
      </c>
      <c r="E28" s="8" t="n">
        <v>20</v>
      </c>
      <c r="F28" s="8" t="n">
        <v>0</v>
      </c>
      <c r="G28" s="8" t="s">
        <v>386</v>
      </c>
    </row>
    <row r="29" customFormat="false" ht="15" hidden="false" customHeight="false" outlineLevel="0" collapsed="false">
      <c r="A29" s="8" t="n">
        <v>28</v>
      </c>
      <c r="B29" s="8" t="n">
        <v>6</v>
      </c>
      <c r="C29" s="8" t="s">
        <v>343</v>
      </c>
      <c r="D29" s="8" t="s">
        <v>388</v>
      </c>
      <c r="E29" s="8" t="n">
        <v>5</v>
      </c>
      <c r="F29" s="8" t="n">
        <v>0</v>
      </c>
      <c r="G29" s="8" t="s">
        <v>389</v>
      </c>
    </row>
    <row r="30" customFormat="false" ht="15" hidden="false" customHeight="false" outlineLevel="0" collapsed="false">
      <c r="A30" s="8" t="n">
        <v>29</v>
      </c>
      <c r="B30" s="8" t="n">
        <v>6</v>
      </c>
      <c r="C30" s="8" t="s">
        <v>343</v>
      </c>
      <c r="D30" s="8" t="s">
        <v>390</v>
      </c>
      <c r="E30" s="8" t="n">
        <v>15</v>
      </c>
      <c r="F30" s="8" t="n">
        <v>0</v>
      </c>
      <c r="G30" s="8" t="s">
        <v>391</v>
      </c>
    </row>
    <row r="31" customFormat="false" ht="15" hidden="false" customHeight="false" outlineLevel="0" collapsed="false">
      <c r="A31" s="8" t="n">
        <v>30</v>
      </c>
      <c r="B31" s="8" t="n">
        <v>6</v>
      </c>
      <c r="C31" s="8" t="s">
        <v>340</v>
      </c>
      <c r="D31" s="8" t="s">
        <v>385</v>
      </c>
      <c r="E31" s="8" t="n">
        <v>80</v>
      </c>
      <c r="F31" s="8" t="n">
        <v>0</v>
      </c>
      <c r="G31" s="8" t="s">
        <v>392</v>
      </c>
    </row>
  </sheetData>
  <autoFilter ref="A1:G31"/>
  <dataValidations count="1">
    <dataValidation allowBlank="true" error="Pick a value from the list" errorStyle="stop" errorTitle="Invalid value" operator="between" showDropDown="false" showErrorMessage="false" showInputMessage="false" sqref="C2:C1031" type="list">
      <formula1>"Theory,Lab"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8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80"/>
    <col collapsed="false" customWidth="true" hidden="false" outlineLevel="0" max="10" min="10" style="0" width="12"/>
    <col collapsed="false" customWidth="true" hidden="false" outlineLevel="0" max="11" min="11" style="0" width="19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3" t="s">
        <v>393</v>
      </c>
      <c r="B1" s="3" t="s">
        <v>2</v>
      </c>
      <c r="C1" s="3" t="s">
        <v>394</v>
      </c>
      <c r="D1" s="3" t="s">
        <v>395</v>
      </c>
      <c r="E1" s="3" t="s">
        <v>396</v>
      </c>
      <c r="F1" s="3" t="s">
        <v>397</v>
      </c>
      <c r="G1" s="3" t="s">
        <v>398</v>
      </c>
      <c r="H1" s="3" t="s">
        <v>399</v>
      </c>
      <c r="I1" s="3" t="s">
        <v>400</v>
      </c>
      <c r="J1" s="3" t="s">
        <v>401</v>
      </c>
      <c r="K1" s="3" t="s">
        <v>402</v>
      </c>
      <c r="L1" s="3" t="s">
        <v>403</v>
      </c>
      <c r="M1" s="3" t="s">
        <v>404</v>
      </c>
      <c r="N1" s="3" t="s">
        <v>60</v>
      </c>
    </row>
    <row r="2" customFormat="false" ht="15" hidden="false" customHeight="false" outlineLevel="0" collapsed="false">
      <c r="A2" s="8" t="n">
        <v>1</v>
      </c>
      <c r="B2" s="8" t="n">
        <v>1</v>
      </c>
      <c r="C2" s="8" t="s">
        <v>405</v>
      </c>
      <c r="D2" s="8" t="s">
        <v>406</v>
      </c>
      <c r="E2" s="8" t="s">
        <v>407</v>
      </c>
      <c r="F2" s="9" t="s">
        <v>408</v>
      </c>
      <c r="G2" s="9" t="n">
        <v>1</v>
      </c>
      <c r="H2" s="9" t="n">
        <v>3</v>
      </c>
      <c r="I2" s="8" t="s">
        <v>109</v>
      </c>
      <c r="J2" s="8" t="n">
        <v>1</v>
      </c>
      <c r="K2" s="8" t="n">
        <v>1.5</v>
      </c>
      <c r="L2" s="8"/>
      <c r="M2" s="8"/>
      <c r="N2" s="8"/>
    </row>
    <row r="3" customFormat="false" ht="15" hidden="false" customHeight="false" outlineLevel="0" collapsed="false">
      <c r="A3" s="8" t="n">
        <v>2</v>
      </c>
      <c r="B3" s="8" t="n">
        <v>1</v>
      </c>
      <c r="C3" s="8" t="s">
        <v>405</v>
      </c>
      <c r="D3" s="8" t="s">
        <v>409</v>
      </c>
      <c r="E3" s="8" t="s">
        <v>410</v>
      </c>
      <c r="F3" s="9" t="s">
        <v>408</v>
      </c>
      <c r="G3" s="9" t="n">
        <v>1</v>
      </c>
      <c r="H3" s="9" t="n">
        <v>3</v>
      </c>
      <c r="I3" s="8" t="s">
        <v>109</v>
      </c>
      <c r="J3" s="8" t="n">
        <v>3</v>
      </c>
      <c r="K3" s="8" t="n">
        <v>1.5</v>
      </c>
      <c r="L3" s="8"/>
      <c r="M3" s="8"/>
      <c r="N3" s="8"/>
    </row>
    <row r="4" customFormat="false" ht="15" hidden="false" customHeight="false" outlineLevel="0" collapsed="false">
      <c r="A4" s="8" t="n">
        <v>3</v>
      </c>
      <c r="B4" s="8" t="n">
        <v>1</v>
      </c>
      <c r="C4" s="8" t="s">
        <v>405</v>
      </c>
      <c r="D4" s="8" t="s">
        <v>411</v>
      </c>
      <c r="E4" s="8" t="s">
        <v>412</v>
      </c>
      <c r="F4" s="9" t="s">
        <v>408</v>
      </c>
      <c r="G4" s="9" t="n">
        <v>1</v>
      </c>
      <c r="H4" s="9" t="n">
        <v>3</v>
      </c>
      <c r="I4" s="8" t="s">
        <v>109</v>
      </c>
      <c r="J4" s="8" t="n">
        <v>4</v>
      </c>
      <c r="K4" s="8" t="n">
        <v>1.5</v>
      </c>
      <c r="L4" s="8"/>
      <c r="M4" s="8"/>
      <c r="N4" s="8"/>
    </row>
    <row r="5" customFormat="false" ht="15" hidden="false" customHeight="false" outlineLevel="0" collapsed="false">
      <c r="A5" s="8" t="n">
        <v>4</v>
      </c>
      <c r="B5" s="8" t="n">
        <v>1</v>
      </c>
      <c r="C5" s="8" t="s">
        <v>405</v>
      </c>
      <c r="D5" s="8" t="s">
        <v>413</v>
      </c>
      <c r="E5" s="8" t="s">
        <v>414</v>
      </c>
      <c r="F5" s="9" t="s">
        <v>408</v>
      </c>
      <c r="G5" s="9" t="n">
        <v>1</v>
      </c>
      <c r="H5" s="9" t="n">
        <v>3</v>
      </c>
      <c r="I5" s="8" t="s">
        <v>109</v>
      </c>
      <c r="J5" s="8" t="n">
        <v>5</v>
      </c>
      <c r="K5" s="8" t="n">
        <v>1.5</v>
      </c>
      <c r="L5" s="8"/>
      <c r="M5" s="8"/>
      <c r="N5" s="8"/>
    </row>
    <row r="6" customFormat="false" ht="15" hidden="false" customHeight="false" outlineLevel="0" collapsed="false">
      <c r="A6" s="8" t="n">
        <v>5</v>
      </c>
      <c r="B6" s="8" t="n">
        <v>1</v>
      </c>
      <c r="C6" s="8" t="s">
        <v>405</v>
      </c>
      <c r="D6" s="8" t="s">
        <v>415</v>
      </c>
      <c r="E6" s="8" t="s">
        <v>416</v>
      </c>
      <c r="F6" s="9" t="s">
        <v>408</v>
      </c>
      <c r="G6" s="9" t="n">
        <v>1</v>
      </c>
      <c r="H6" s="9" t="n">
        <v>3</v>
      </c>
      <c r="I6" s="8" t="s">
        <v>109</v>
      </c>
      <c r="J6" s="8" t="n">
        <v>6</v>
      </c>
      <c r="K6" s="8" t="n">
        <v>1.5</v>
      </c>
      <c r="L6" s="8"/>
      <c r="M6" s="8"/>
      <c r="N6" s="8"/>
    </row>
    <row r="7" customFormat="false" ht="15" hidden="false" customHeight="false" outlineLevel="0" collapsed="false">
      <c r="A7" s="8" t="n">
        <v>6</v>
      </c>
      <c r="B7" s="8" t="n">
        <v>1</v>
      </c>
      <c r="C7" s="8" t="s">
        <v>405</v>
      </c>
      <c r="D7" s="8" t="s">
        <v>417</v>
      </c>
      <c r="E7" s="8" t="s">
        <v>418</v>
      </c>
      <c r="F7" s="9" t="s">
        <v>408</v>
      </c>
      <c r="G7" s="9" t="n">
        <v>1</v>
      </c>
      <c r="H7" s="9" t="n">
        <v>3</v>
      </c>
      <c r="I7" s="8" t="s">
        <v>109</v>
      </c>
      <c r="J7" s="8" t="n">
        <v>10</v>
      </c>
      <c r="K7" s="8" t="n">
        <v>1.5</v>
      </c>
      <c r="L7" s="8"/>
      <c r="M7" s="8"/>
      <c r="N7" s="8"/>
    </row>
    <row r="8" customFormat="false" ht="15" hidden="false" customHeight="false" outlineLevel="0" collapsed="false">
      <c r="A8" s="8" t="n">
        <v>7</v>
      </c>
      <c r="B8" s="8" t="n">
        <v>1</v>
      </c>
      <c r="C8" s="8" t="s">
        <v>419</v>
      </c>
      <c r="D8" s="8" t="s">
        <v>420</v>
      </c>
      <c r="E8" s="8" t="s">
        <v>421</v>
      </c>
      <c r="F8" s="9" t="s">
        <v>408</v>
      </c>
      <c r="G8" s="9" t="n">
        <v>1</v>
      </c>
      <c r="H8" s="9" t="n">
        <v>3</v>
      </c>
      <c r="I8" s="8" t="s">
        <v>109</v>
      </c>
      <c r="J8" s="8" t="n">
        <v>13</v>
      </c>
      <c r="K8" s="8" t="n">
        <v>1.5</v>
      </c>
      <c r="L8" s="8"/>
      <c r="M8" s="8"/>
      <c r="N8" s="8"/>
    </row>
    <row r="9" customFormat="false" ht="15" hidden="false" customHeight="false" outlineLevel="0" collapsed="false">
      <c r="A9" s="8" t="n">
        <v>8</v>
      </c>
      <c r="B9" s="8" t="n">
        <v>1</v>
      </c>
      <c r="C9" s="8" t="s">
        <v>419</v>
      </c>
      <c r="D9" s="8" t="s">
        <v>422</v>
      </c>
      <c r="E9" s="8" t="s">
        <v>423</v>
      </c>
      <c r="F9" s="9" t="s">
        <v>408</v>
      </c>
      <c r="G9" s="9" t="n">
        <v>1</v>
      </c>
      <c r="H9" s="9" t="n">
        <v>3</v>
      </c>
      <c r="I9" s="8" t="s">
        <v>109</v>
      </c>
      <c r="J9" s="8" t="n">
        <v>15</v>
      </c>
      <c r="K9" s="8" t="n">
        <v>1.5</v>
      </c>
      <c r="L9" s="8"/>
      <c r="M9" s="8"/>
      <c r="N9" s="8"/>
    </row>
    <row r="10" customFormat="false" ht="15" hidden="false" customHeight="false" outlineLevel="0" collapsed="false">
      <c r="A10" s="8" t="n">
        <v>9</v>
      </c>
      <c r="B10" s="8" t="n">
        <v>1</v>
      </c>
      <c r="C10" s="8" t="s">
        <v>419</v>
      </c>
      <c r="D10" s="8" t="s">
        <v>424</v>
      </c>
      <c r="E10" s="8" t="s">
        <v>425</v>
      </c>
      <c r="F10" s="9" t="s">
        <v>408</v>
      </c>
      <c r="G10" s="9" t="n">
        <v>1</v>
      </c>
      <c r="H10" s="9" t="n">
        <v>3</v>
      </c>
      <c r="I10" s="8" t="s">
        <v>109</v>
      </c>
      <c r="J10" s="8" t="n">
        <v>17</v>
      </c>
      <c r="K10" s="8" t="n">
        <v>1.5</v>
      </c>
      <c r="L10" s="8"/>
      <c r="M10" s="8"/>
      <c r="N10" s="8"/>
    </row>
    <row r="11" customFormat="false" ht="15" hidden="false" customHeight="false" outlineLevel="0" collapsed="false">
      <c r="A11" s="8" t="n">
        <v>10</v>
      </c>
      <c r="B11" s="8" t="n">
        <v>1</v>
      </c>
      <c r="C11" s="8" t="s">
        <v>419</v>
      </c>
      <c r="D11" s="8" t="s">
        <v>426</v>
      </c>
      <c r="E11" s="8" t="s">
        <v>427</v>
      </c>
      <c r="F11" s="9" t="s">
        <v>408</v>
      </c>
      <c r="G11" s="9" t="n">
        <v>1</v>
      </c>
      <c r="H11" s="9" t="n">
        <v>3</v>
      </c>
      <c r="I11" s="8" t="s">
        <v>109</v>
      </c>
      <c r="J11" s="8" t="n">
        <v>18</v>
      </c>
      <c r="K11" s="8" t="n">
        <v>1.5</v>
      </c>
      <c r="L11" s="8"/>
      <c r="M11" s="8"/>
      <c r="N11" s="8"/>
    </row>
    <row r="12" customFormat="false" ht="15" hidden="false" customHeight="false" outlineLevel="0" collapsed="false">
      <c r="A12" s="8" t="n">
        <v>11</v>
      </c>
      <c r="B12" s="8" t="n">
        <v>1</v>
      </c>
      <c r="C12" s="8" t="s">
        <v>419</v>
      </c>
      <c r="D12" s="8" t="s">
        <v>428</v>
      </c>
      <c r="E12" s="8" t="s">
        <v>429</v>
      </c>
      <c r="F12" s="9" t="s">
        <v>408</v>
      </c>
      <c r="G12" s="9" t="n">
        <v>1</v>
      </c>
      <c r="H12" s="9" t="n">
        <v>3</v>
      </c>
      <c r="I12" s="8" t="s">
        <v>109</v>
      </c>
      <c r="J12" s="8" t="n">
        <v>24</v>
      </c>
      <c r="K12" s="8" t="n">
        <v>1.5</v>
      </c>
      <c r="L12" s="8"/>
      <c r="M12" s="8"/>
      <c r="N12" s="8"/>
    </row>
    <row r="13" customFormat="false" ht="15" hidden="false" customHeight="false" outlineLevel="0" collapsed="false">
      <c r="A13" s="8" t="n">
        <v>12</v>
      </c>
      <c r="B13" s="8" t="n">
        <v>1</v>
      </c>
      <c r="C13" s="8" t="s">
        <v>419</v>
      </c>
      <c r="D13" s="8" t="s">
        <v>430</v>
      </c>
      <c r="E13" s="8" t="s">
        <v>431</v>
      </c>
      <c r="F13" s="9" t="s">
        <v>408</v>
      </c>
      <c r="G13" s="9" t="n">
        <v>1</v>
      </c>
      <c r="H13" s="9" t="n">
        <v>3</v>
      </c>
      <c r="I13" s="8" t="s">
        <v>109</v>
      </c>
      <c r="J13" s="8" t="n">
        <v>25</v>
      </c>
      <c r="K13" s="8" t="n">
        <v>1.5</v>
      </c>
      <c r="L13" s="8"/>
      <c r="M13" s="8"/>
      <c r="N13" s="8"/>
    </row>
    <row r="14" customFormat="false" ht="15" hidden="false" customHeight="false" outlineLevel="0" collapsed="false">
      <c r="A14" s="8" t="n">
        <v>13</v>
      </c>
      <c r="B14" s="8" t="n">
        <v>1</v>
      </c>
      <c r="C14" s="8" t="s">
        <v>419</v>
      </c>
      <c r="D14" s="8" t="s">
        <v>432</v>
      </c>
      <c r="E14" s="8" t="s">
        <v>433</v>
      </c>
      <c r="F14" s="9" t="s">
        <v>408</v>
      </c>
      <c r="G14" s="9" t="n">
        <v>1</v>
      </c>
      <c r="H14" s="9" t="n">
        <v>3</v>
      </c>
      <c r="I14" s="8" t="s">
        <v>109</v>
      </c>
      <c r="J14" s="8" t="n">
        <v>26</v>
      </c>
      <c r="K14" s="8" t="n">
        <v>1.5</v>
      </c>
      <c r="L14" s="8"/>
      <c r="M14" s="8"/>
      <c r="N14" s="8"/>
    </row>
    <row r="15" customFormat="false" ht="15" hidden="false" customHeight="false" outlineLevel="0" collapsed="false">
      <c r="A15" s="8" t="n">
        <v>14</v>
      </c>
      <c r="B15" s="8" t="n">
        <v>1</v>
      </c>
      <c r="C15" s="8" t="s">
        <v>434</v>
      </c>
      <c r="D15" s="8" t="s">
        <v>435</v>
      </c>
      <c r="E15" s="8" t="s">
        <v>436</v>
      </c>
      <c r="F15" s="9" t="s">
        <v>408</v>
      </c>
      <c r="G15" s="9" t="n">
        <v>1</v>
      </c>
      <c r="H15" s="9" t="n">
        <v>3</v>
      </c>
      <c r="I15" s="8" t="s">
        <v>109</v>
      </c>
      <c r="J15" s="8" t="n">
        <v>29</v>
      </c>
      <c r="K15" s="8" t="n">
        <v>1.5</v>
      </c>
      <c r="L15" s="8"/>
      <c r="M15" s="8"/>
      <c r="N15" s="8"/>
    </row>
    <row r="16" customFormat="false" ht="15" hidden="false" customHeight="false" outlineLevel="0" collapsed="false">
      <c r="A16" s="8" t="n">
        <v>15</v>
      </c>
      <c r="B16" s="8" t="n">
        <v>1</v>
      </c>
      <c r="C16" s="8" t="s">
        <v>434</v>
      </c>
      <c r="D16" s="8" t="s">
        <v>437</v>
      </c>
      <c r="E16" s="8" t="s">
        <v>438</v>
      </c>
      <c r="F16" s="9" t="s">
        <v>408</v>
      </c>
      <c r="G16" s="9" t="n">
        <v>1</v>
      </c>
      <c r="H16" s="9" t="n">
        <v>3</v>
      </c>
      <c r="I16" s="8" t="s">
        <v>109</v>
      </c>
      <c r="J16" s="8" t="n">
        <v>32</v>
      </c>
      <c r="K16" s="8" t="n">
        <v>1.5</v>
      </c>
      <c r="L16" s="8"/>
      <c r="M16" s="8"/>
      <c r="N16" s="8"/>
    </row>
    <row r="17" customFormat="false" ht="15" hidden="false" customHeight="false" outlineLevel="0" collapsed="false">
      <c r="A17" s="8" t="n">
        <v>16</v>
      </c>
      <c r="B17" s="8" t="n">
        <v>1</v>
      </c>
      <c r="C17" s="8" t="s">
        <v>434</v>
      </c>
      <c r="D17" s="8" t="s">
        <v>439</v>
      </c>
      <c r="E17" s="8" t="s">
        <v>440</v>
      </c>
      <c r="F17" s="9" t="s">
        <v>408</v>
      </c>
      <c r="G17" s="9" t="n">
        <v>1</v>
      </c>
      <c r="H17" s="9" t="n">
        <v>3</v>
      </c>
      <c r="I17" s="8" t="s">
        <v>109</v>
      </c>
      <c r="J17" s="8" t="n">
        <v>36</v>
      </c>
      <c r="K17" s="8" t="n">
        <v>1.5</v>
      </c>
      <c r="L17" s="8"/>
      <c r="M17" s="8"/>
      <c r="N17" s="8"/>
    </row>
    <row r="18" customFormat="false" ht="15" hidden="false" customHeight="false" outlineLevel="0" collapsed="false">
      <c r="A18" s="8" t="n">
        <v>17</v>
      </c>
      <c r="B18" s="8" t="n">
        <v>1</v>
      </c>
      <c r="C18" s="8" t="s">
        <v>434</v>
      </c>
      <c r="D18" s="8" t="s">
        <v>441</v>
      </c>
      <c r="E18" s="8" t="s">
        <v>442</v>
      </c>
      <c r="F18" s="9" t="s">
        <v>408</v>
      </c>
      <c r="G18" s="9" t="n">
        <v>1</v>
      </c>
      <c r="H18" s="9" t="n">
        <v>3</v>
      </c>
      <c r="I18" s="8" t="s">
        <v>109</v>
      </c>
      <c r="J18" s="8" t="n">
        <v>41</v>
      </c>
      <c r="K18" s="8" t="n">
        <v>1.5</v>
      </c>
      <c r="L18" s="8"/>
      <c r="M18" s="8"/>
      <c r="N18" s="8"/>
    </row>
    <row r="19" customFormat="false" ht="15" hidden="false" customHeight="false" outlineLevel="0" collapsed="false">
      <c r="A19" s="8" t="n">
        <v>18</v>
      </c>
      <c r="B19" s="8" t="n">
        <v>1</v>
      </c>
      <c r="C19" s="8" t="s">
        <v>434</v>
      </c>
      <c r="D19" s="8" t="s">
        <v>443</v>
      </c>
      <c r="E19" s="8" t="s">
        <v>444</v>
      </c>
      <c r="F19" s="9" t="s">
        <v>408</v>
      </c>
      <c r="G19" s="9" t="n">
        <v>1</v>
      </c>
      <c r="H19" s="9" t="n">
        <v>3</v>
      </c>
      <c r="I19" s="8" t="s">
        <v>109</v>
      </c>
      <c r="J19" s="8" t="n">
        <v>46</v>
      </c>
      <c r="K19" s="8" t="n">
        <v>1.5</v>
      </c>
      <c r="L19" s="8"/>
      <c r="M19" s="8"/>
      <c r="N19" s="8"/>
    </row>
    <row r="20" customFormat="false" ht="15" hidden="false" customHeight="false" outlineLevel="0" collapsed="false">
      <c r="A20" s="8" t="n">
        <v>19</v>
      </c>
      <c r="B20" s="8" t="n">
        <v>1</v>
      </c>
      <c r="C20" s="8" t="s">
        <v>445</v>
      </c>
      <c r="D20" s="8" t="s">
        <v>446</v>
      </c>
      <c r="E20" s="8" t="s">
        <v>447</v>
      </c>
      <c r="F20" s="9" t="s">
        <v>408</v>
      </c>
      <c r="G20" s="9" t="n">
        <v>1</v>
      </c>
      <c r="H20" s="9" t="n">
        <v>3</v>
      </c>
      <c r="I20" s="8" t="s">
        <v>109</v>
      </c>
      <c r="J20" s="8" t="n">
        <v>49</v>
      </c>
      <c r="K20" s="8" t="n">
        <v>1.5</v>
      </c>
      <c r="L20" s="8"/>
      <c r="M20" s="8"/>
      <c r="N20" s="8"/>
    </row>
    <row r="21" customFormat="false" ht="15" hidden="false" customHeight="false" outlineLevel="0" collapsed="false">
      <c r="A21" s="8" t="n">
        <v>20</v>
      </c>
      <c r="B21" s="8" t="n">
        <v>1</v>
      </c>
      <c r="C21" s="8" t="s">
        <v>445</v>
      </c>
      <c r="D21" s="8" t="s">
        <v>448</v>
      </c>
      <c r="E21" s="8" t="s">
        <v>449</v>
      </c>
      <c r="F21" s="9" t="s">
        <v>408</v>
      </c>
      <c r="G21" s="9" t="n">
        <v>1</v>
      </c>
      <c r="H21" s="9" t="n">
        <v>3</v>
      </c>
      <c r="I21" s="8" t="s">
        <v>109</v>
      </c>
      <c r="J21" s="8" t="n">
        <v>52</v>
      </c>
      <c r="K21" s="8" t="n">
        <v>1.5</v>
      </c>
      <c r="L21" s="8"/>
      <c r="M21" s="8"/>
      <c r="N21" s="8"/>
    </row>
    <row r="22" customFormat="false" ht="15" hidden="false" customHeight="false" outlineLevel="0" collapsed="false">
      <c r="A22" s="8" t="n">
        <v>21</v>
      </c>
      <c r="B22" s="8" t="n">
        <v>1</v>
      </c>
      <c r="C22" s="8" t="s">
        <v>445</v>
      </c>
      <c r="D22" s="8" t="s">
        <v>450</v>
      </c>
      <c r="E22" s="8" t="s">
        <v>451</v>
      </c>
      <c r="F22" s="9" t="s">
        <v>408</v>
      </c>
      <c r="G22" s="9" t="n">
        <v>1</v>
      </c>
      <c r="H22" s="9" t="n">
        <v>3</v>
      </c>
      <c r="I22" s="8" t="s">
        <v>109</v>
      </c>
      <c r="J22" s="8" t="n">
        <v>57</v>
      </c>
      <c r="K22" s="8" t="n">
        <v>1.5</v>
      </c>
      <c r="L22" s="8"/>
      <c r="M22" s="8"/>
      <c r="N22" s="8"/>
    </row>
    <row r="23" customFormat="false" ht="15" hidden="false" customHeight="false" outlineLevel="0" collapsed="false">
      <c r="A23" s="8" t="n">
        <v>22</v>
      </c>
      <c r="B23" s="8" t="n">
        <v>1</v>
      </c>
      <c r="C23" s="8" t="s">
        <v>445</v>
      </c>
      <c r="D23" s="8" t="s">
        <v>452</v>
      </c>
      <c r="E23" s="8" t="s">
        <v>453</v>
      </c>
      <c r="F23" s="9" t="s">
        <v>408</v>
      </c>
      <c r="G23" s="9" t="n">
        <v>1</v>
      </c>
      <c r="H23" s="9" t="n">
        <v>3</v>
      </c>
      <c r="I23" s="8" t="s">
        <v>109</v>
      </c>
      <c r="J23" s="8" t="n">
        <v>60</v>
      </c>
      <c r="K23" s="8" t="n">
        <v>1.5</v>
      </c>
      <c r="L23" s="8"/>
      <c r="M23" s="8"/>
      <c r="N23" s="8"/>
    </row>
    <row r="24" customFormat="false" ht="15" hidden="false" customHeight="false" outlineLevel="0" collapsed="false">
      <c r="A24" s="8" t="n">
        <v>23</v>
      </c>
      <c r="B24" s="8" t="n">
        <v>1</v>
      </c>
      <c r="C24" s="8" t="s">
        <v>445</v>
      </c>
      <c r="D24" s="8" t="s">
        <v>454</v>
      </c>
      <c r="E24" s="8" t="s">
        <v>455</v>
      </c>
      <c r="F24" s="9" t="s">
        <v>408</v>
      </c>
      <c r="G24" s="9" t="n">
        <v>1</v>
      </c>
      <c r="H24" s="9" t="n">
        <v>3</v>
      </c>
      <c r="I24" s="8" t="s">
        <v>109</v>
      </c>
      <c r="J24" s="8" t="n">
        <v>64</v>
      </c>
      <c r="K24" s="8" t="n">
        <v>1.5</v>
      </c>
      <c r="L24" s="8"/>
      <c r="M24" s="8"/>
      <c r="N24" s="8"/>
    </row>
    <row r="25" customFormat="false" ht="15" hidden="false" customHeight="false" outlineLevel="0" collapsed="false">
      <c r="A25" s="8" t="n">
        <v>24</v>
      </c>
      <c r="B25" s="8" t="n">
        <v>1</v>
      </c>
      <c r="C25" s="8" t="s">
        <v>445</v>
      </c>
      <c r="D25" s="8" t="s">
        <v>456</v>
      </c>
      <c r="E25" s="8" t="s">
        <v>457</v>
      </c>
      <c r="F25" s="9" t="s">
        <v>408</v>
      </c>
      <c r="G25" s="9" t="n">
        <v>1</v>
      </c>
      <c r="H25" s="9" t="n">
        <v>3</v>
      </c>
      <c r="I25" s="8" t="s">
        <v>109</v>
      </c>
      <c r="J25" s="8" t="n">
        <v>69</v>
      </c>
      <c r="K25" s="8" t="n">
        <v>1.5</v>
      </c>
      <c r="L25" s="8"/>
      <c r="M25" s="8"/>
      <c r="N25" s="8"/>
    </row>
    <row r="26" customFormat="false" ht="15" hidden="false" customHeight="false" outlineLevel="0" collapsed="false">
      <c r="A26" s="8" t="n">
        <v>25</v>
      </c>
      <c r="B26" s="8" t="n">
        <v>1</v>
      </c>
      <c r="C26" s="8" t="s">
        <v>445</v>
      </c>
      <c r="D26" s="8" t="s">
        <v>458</v>
      </c>
      <c r="E26" s="8" t="s">
        <v>459</v>
      </c>
      <c r="F26" s="9" t="s">
        <v>408</v>
      </c>
      <c r="G26" s="9" t="n">
        <v>1</v>
      </c>
      <c r="H26" s="9" t="n">
        <v>3</v>
      </c>
      <c r="I26" s="8" t="s">
        <v>109</v>
      </c>
      <c r="J26" s="8" t="n">
        <v>73</v>
      </c>
      <c r="K26" s="8" t="n">
        <v>1.5</v>
      </c>
      <c r="L26" s="8"/>
      <c r="M26" s="8"/>
      <c r="N26" s="8"/>
    </row>
    <row r="27" customFormat="false" ht="15" hidden="false" customHeight="false" outlineLevel="0" collapsed="false">
      <c r="A27" s="8" t="n">
        <v>26</v>
      </c>
      <c r="B27" s="8" t="n">
        <v>1</v>
      </c>
      <c r="C27" s="8" t="s">
        <v>460</v>
      </c>
      <c r="D27" s="8" t="s">
        <v>461</v>
      </c>
      <c r="E27" s="8" t="s">
        <v>462</v>
      </c>
      <c r="F27" s="9" t="s">
        <v>408</v>
      </c>
      <c r="G27" s="9" t="n">
        <v>1</v>
      </c>
      <c r="H27" s="9" t="n">
        <v>3</v>
      </c>
      <c r="I27" s="8" t="s">
        <v>109</v>
      </c>
      <c r="J27" s="8" t="n">
        <v>77</v>
      </c>
      <c r="K27" s="8" t="n">
        <v>1.5</v>
      </c>
      <c r="L27" s="8"/>
      <c r="M27" s="8"/>
      <c r="N27" s="8"/>
    </row>
    <row r="28" customFormat="false" ht="15" hidden="false" customHeight="false" outlineLevel="0" collapsed="false">
      <c r="A28" s="8" t="n">
        <v>27</v>
      </c>
      <c r="B28" s="8" t="n">
        <v>1</v>
      </c>
      <c r="C28" s="8" t="s">
        <v>460</v>
      </c>
      <c r="D28" s="8" t="s">
        <v>463</v>
      </c>
      <c r="E28" s="8" t="s">
        <v>464</v>
      </c>
      <c r="F28" s="9" t="s">
        <v>408</v>
      </c>
      <c r="G28" s="9" t="n">
        <v>1</v>
      </c>
      <c r="H28" s="9" t="n">
        <v>3</v>
      </c>
      <c r="I28" s="8" t="s">
        <v>109</v>
      </c>
      <c r="J28" s="8" t="n">
        <v>81</v>
      </c>
      <c r="K28" s="8" t="n">
        <v>1.5</v>
      </c>
      <c r="L28" s="8"/>
      <c r="M28" s="8"/>
      <c r="N28" s="8"/>
    </row>
    <row r="29" customFormat="false" ht="15" hidden="false" customHeight="false" outlineLevel="0" collapsed="false">
      <c r="A29" s="8" t="n">
        <v>28</v>
      </c>
      <c r="B29" s="8" t="n">
        <v>1</v>
      </c>
      <c r="C29" s="8" t="s">
        <v>460</v>
      </c>
      <c r="D29" s="8" t="s">
        <v>465</v>
      </c>
      <c r="E29" s="8" t="s">
        <v>466</v>
      </c>
      <c r="F29" s="9" t="s">
        <v>408</v>
      </c>
      <c r="G29" s="9" t="n">
        <v>1</v>
      </c>
      <c r="H29" s="9" t="n">
        <v>3</v>
      </c>
      <c r="I29" s="8" t="s">
        <v>109</v>
      </c>
      <c r="J29" s="8" t="n">
        <v>85</v>
      </c>
      <c r="K29" s="8" t="n">
        <v>1.5</v>
      </c>
      <c r="L29" s="8"/>
      <c r="M29" s="8"/>
      <c r="N29" s="8"/>
    </row>
    <row r="30" customFormat="false" ht="15" hidden="false" customHeight="false" outlineLevel="0" collapsed="false">
      <c r="A30" s="8" t="n">
        <v>29</v>
      </c>
      <c r="B30" s="8" t="n">
        <v>1</v>
      </c>
      <c r="C30" s="8" t="s">
        <v>460</v>
      </c>
      <c r="D30" s="8" t="s">
        <v>467</v>
      </c>
      <c r="E30" s="8" t="s">
        <v>468</v>
      </c>
      <c r="F30" s="9" t="s">
        <v>408</v>
      </c>
      <c r="G30" s="9" t="n">
        <v>1</v>
      </c>
      <c r="H30" s="9" t="n">
        <v>3</v>
      </c>
      <c r="I30" s="8" t="s">
        <v>109</v>
      </c>
      <c r="J30" s="8" t="n">
        <v>88</v>
      </c>
      <c r="K30" s="8" t="n">
        <v>1.5</v>
      </c>
      <c r="L30" s="8"/>
      <c r="M30" s="8"/>
      <c r="N30" s="8"/>
    </row>
    <row r="31" customFormat="false" ht="15" hidden="false" customHeight="false" outlineLevel="0" collapsed="false">
      <c r="A31" s="8" t="n">
        <v>30</v>
      </c>
      <c r="B31" s="8" t="n">
        <v>1</v>
      </c>
      <c r="C31" s="8" t="s">
        <v>469</v>
      </c>
      <c r="D31" s="8" t="s">
        <v>470</v>
      </c>
      <c r="E31" s="8" t="s">
        <v>471</v>
      </c>
      <c r="F31" s="9" t="s">
        <v>408</v>
      </c>
      <c r="G31" s="9" t="n">
        <v>1</v>
      </c>
      <c r="H31" s="9" t="n">
        <v>3</v>
      </c>
      <c r="I31" s="8" t="s">
        <v>109</v>
      </c>
      <c r="J31" s="8" t="n">
        <v>95</v>
      </c>
      <c r="K31" s="8" t="n">
        <v>1.5</v>
      </c>
      <c r="L31" s="8"/>
      <c r="M31" s="8"/>
      <c r="N31" s="8"/>
    </row>
    <row r="32" customFormat="false" ht="15" hidden="false" customHeight="false" outlineLevel="0" collapsed="false">
      <c r="A32" s="8" t="n">
        <v>31</v>
      </c>
      <c r="B32" s="8" t="n">
        <v>1</v>
      </c>
      <c r="C32" s="8" t="s">
        <v>469</v>
      </c>
      <c r="D32" s="8" t="s">
        <v>472</v>
      </c>
      <c r="E32" s="8" t="s">
        <v>473</v>
      </c>
      <c r="F32" s="9" t="s">
        <v>408</v>
      </c>
      <c r="G32" s="9" t="n">
        <v>1</v>
      </c>
      <c r="H32" s="9" t="n">
        <v>3</v>
      </c>
      <c r="I32" s="8" t="s">
        <v>109</v>
      </c>
      <c r="J32" s="8" t="n">
        <v>99</v>
      </c>
      <c r="K32" s="8" t="n">
        <v>1.5</v>
      </c>
      <c r="L32" s="8"/>
      <c r="M32" s="8"/>
      <c r="N32" s="8"/>
    </row>
    <row r="33" customFormat="false" ht="15" hidden="false" customHeight="false" outlineLevel="0" collapsed="false">
      <c r="A33" s="8" t="n">
        <v>32</v>
      </c>
      <c r="B33" s="8" t="n">
        <v>1</v>
      </c>
      <c r="C33" s="8" t="s">
        <v>469</v>
      </c>
      <c r="D33" s="8" t="s">
        <v>474</v>
      </c>
      <c r="E33" s="8" t="s">
        <v>475</v>
      </c>
      <c r="F33" s="9" t="s">
        <v>408</v>
      </c>
      <c r="G33" s="9" t="n">
        <v>1</v>
      </c>
      <c r="H33" s="9" t="n">
        <v>3</v>
      </c>
      <c r="I33" s="8" t="s">
        <v>109</v>
      </c>
      <c r="J33" s="8" t="n">
        <v>103</v>
      </c>
      <c r="K33" s="8" t="n">
        <v>1.5</v>
      </c>
      <c r="L33" s="8"/>
      <c r="M33" s="8"/>
      <c r="N33" s="8"/>
    </row>
    <row r="34" customFormat="false" ht="15" hidden="false" customHeight="false" outlineLevel="0" collapsed="false">
      <c r="A34" s="8" t="n">
        <v>33</v>
      </c>
      <c r="B34" s="8" t="n">
        <v>1</v>
      </c>
      <c r="C34" s="8" t="s">
        <v>469</v>
      </c>
      <c r="D34" s="8" t="s">
        <v>476</v>
      </c>
      <c r="E34" s="8" t="s">
        <v>477</v>
      </c>
      <c r="F34" s="9" t="s">
        <v>408</v>
      </c>
      <c r="G34" s="9" t="n">
        <v>1</v>
      </c>
      <c r="H34" s="9" t="n">
        <v>3</v>
      </c>
      <c r="I34" s="8" t="s">
        <v>109</v>
      </c>
      <c r="J34" s="8" t="n">
        <v>106</v>
      </c>
      <c r="K34" s="8" t="n">
        <v>1.5</v>
      </c>
      <c r="L34" s="8"/>
      <c r="M34" s="8"/>
      <c r="N34" s="8"/>
    </row>
    <row r="35" customFormat="false" ht="15" hidden="false" customHeight="false" outlineLevel="0" collapsed="false">
      <c r="A35" s="8" t="n">
        <v>34</v>
      </c>
      <c r="B35" s="8" t="n">
        <v>1</v>
      </c>
      <c r="C35" s="8" t="s">
        <v>469</v>
      </c>
      <c r="D35" s="8" t="s">
        <v>478</v>
      </c>
      <c r="E35" s="8" t="s">
        <v>479</v>
      </c>
      <c r="F35" s="9" t="s">
        <v>408</v>
      </c>
      <c r="G35" s="9" t="n">
        <v>1</v>
      </c>
      <c r="H35" s="9" t="n">
        <v>3</v>
      </c>
      <c r="I35" s="8" t="s">
        <v>109</v>
      </c>
      <c r="J35" s="8" t="n">
        <v>110</v>
      </c>
      <c r="K35" s="8" t="n">
        <v>1.5</v>
      </c>
      <c r="L35" s="8"/>
      <c r="M35" s="8"/>
      <c r="N35" s="8"/>
    </row>
    <row r="36" customFormat="false" ht="15" hidden="false" customHeight="false" outlineLevel="0" collapsed="false">
      <c r="A36" s="8" t="n">
        <v>35</v>
      </c>
      <c r="B36" s="8" t="n">
        <v>1</v>
      </c>
      <c r="C36" s="8" t="s">
        <v>469</v>
      </c>
      <c r="D36" s="8" t="s">
        <v>480</v>
      </c>
      <c r="E36" s="8" t="s">
        <v>481</v>
      </c>
      <c r="F36" s="9" t="s">
        <v>408</v>
      </c>
      <c r="G36" s="9" t="n">
        <v>1</v>
      </c>
      <c r="H36" s="9" t="n">
        <v>3</v>
      </c>
      <c r="I36" s="8" t="s">
        <v>109</v>
      </c>
      <c r="J36" s="8" t="n">
        <v>116</v>
      </c>
      <c r="K36" s="8" t="n">
        <v>1.5</v>
      </c>
      <c r="L36" s="8"/>
      <c r="M36" s="8"/>
      <c r="N36" s="8"/>
    </row>
    <row r="37" customFormat="false" ht="15" hidden="false" customHeight="false" outlineLevel="0" collapsed="false">
      <c r="A37" s="8" t="n">
        <v>36</v>
      </c>
      <c r="B37" s="8" t="n">
        <v>1</v>
      </c>
      <c r="C37" s="8" t="s">
        <v>469</v>
      </c>
      <c r="D37" s="8" t="s">
        <v>482</v>
      </c>
      <c r="E37" s="8" t="s">
        <v>483</v>
      </c>
      <c r="F37" s="9" t="s">
        <v>408</v>
      </c>
      <c r="G37" s="9" t="n">
        <v>1</v>
      </c>
      <c r="H37" s="9" t="n">
        <v>3</v>
      </c>
      <c r="I37" s="8" t="s">
        <v>109</v>
      </c>
      <c r="J37" s="8" t="n">
        <v>118</v>
      </c>
      <c r="K37" s="8" t="n">
        <v>1.5</v>
      </c>
      <c r="L37" s="8"/>
      <c r="M37" s="8"/>
      <c r="N37" s="8"/>
    </row>
    <row r="38" customFormat="false" ht="15" hidden="false" customHeight="false" outlineLevel="0" collapsed="false">
      <c r="A38" s="8" t="n">
        <v>37</v>
      </c>
      <c r="B38" s="8" t="n">
        <v>1</v>
      </c>
      <c r="C38" s="8" t="s">
        <v>469</v>
      </c>
      <c r="D38" s="8" t="s">
        <v>484</v>
      </c>
      <c r="E38" s="8" t="s">
        <v>485</v>
      </c>
      <c r="F38" s="9" t="s">
        <v>408</v>
      </c>
      <c r="G38" s="9" t="n">
        <v>1</v>
      </c>
      <c r="H38" s="9" t="n">
        <v>3</v>
      </c>
      <c r="I38" s="8" t="s">
        <v>109</v>
      </c>
      <c r="J38" s="8" t="n">
        <v>121</v>
      </c>
      <c r="K38" s="8" t="n">
        <v>1.5</v>
      </c>
      <c r="L38" s="8"/>
      <c r="M38" s="8"/>
      <c r="N38" s="8"/>
    </row>
    <row r="39" customFormat="false" ht="15" hidden="false" customHeight="false" outlineLevel="0" collapsed="false">
      <c r="A39" s="8" t="n">
        <v>38</v>
      </c>
      <c r="B39" s="8" t="n">
        <v>1</v>
      </c>
      <c r="C39" s="8" t="s">
        <v>469</v>
      </c>
      <c r="D39" s="8" t="s">
        <v>486</v>
      </c>
      <c r="E39" s="8" t="s">
        <v>487</v>
      </c>
      <c r="F39" s="9" t="s">
        <v>408</v>
      </c>
      <c r="G39" s="9" t="n">
        <v>1</v>
      </c>
      <c r="H39" s="9" t="n">
        <v>3</v>
      </c>
      <c r="I39" s="8" t="s">
        <v>109</v>
      </c>
      <c r="J39" s="8" t="n">
        <v>127</v>
      </c>
      <c r="K39" s="8" t="n">
        <v>1.5</v>
      </c>
      <c r="L39" s="8"/>
      <c r="M39" s="8"/>
      <c r="N39" s="8"/>
    </row>
    <row r="40" customFormat="false" ht="15" hidden="false" customHeight="false" outlineLevel="0" collapsed="false">
      <c r="A40" s="8" t="n">
        <v>39</v>
      </c>
      <c r="B40" s="8" t="n">
        <v>1</v>
      </c>
      <c r="C40" s="8" t="s">
        <v>469</v>
      </c>
      <c r="D40" s="8" t="s">
        <v>488</v>
      </c>
      <c r="E40" s="8" t="s">
        <v>489</v>
      </c>
      <c r="F40" s="9" t="s">
        <v>408</v>
      </c>
      <c r="G40" s="9" t="n">
        <v>1</v>
      </c>
      <c r="H40" s="9" t="n">
        <v>3</v>
      </c>
      <c r="I40" s="8" t="s">
        <v>109</v>
      </c>
      <c r="J40" s="8" t="n">
        <v>129</v>
      </c>
      <c r="K40" s="8" t="n">
        <v>1.5</v>
      </c>
      <c r="L40" s="8"/>
      <c r="M40" s="8"/>
      <c r="N40" s="8"/>
    </row>
    <row r="41" customFormat="false" ht="15" hidden="false" customHeight="false" outlineLevel="0" collapsed="false">
      <c r="A41" s="8" t="n">
        <v>40</v>
      </c>
      <c r="B41" s="8" t="n">
        <v>1</v>
      </c>
      <c r="C41" s="8" t="s">
        <v>469</v>
      </c>
      <c r="D41" s="8" t="s">
        <v>490</v>
      </c>
      <c r="E41" s="8" t="s">
        <v>491</v>
      </c>
      <c r="F41" s="9" t="s">
        <v>408</v>
      </c>
      <c r="G41" s="9" t="n">
        <v>1</v>
      </c>
      <c r="H41" s="9" t="n">
        <v>3</v>
      </c>
      <c r="I41" s="8" t="s">
        <v>109</v>
      </c>
      <c r="J41" s="8" t="n">
        <v>135</v>
      </c>
      <c r="K41" s="8" t="n">
        <v>1.5</v>
      </c>
      <c r="L41" s="8"/>
      <c r="M41" s="8"/>
      <c r="N41" s="8"/>
    </row>
    <row r="42" customFormat="false" ht="15" hidden="false" customHeight="false" outlineLevel="0" collapsed="false">
      <c r="A42" s="8" t="n">
        <v>41</v>
      </c>
      <c r="B42" s="8" t="n">
        <v>1</v>
      </c>
      <c r="C42" s="8" t="s">
        <v>492</v>
      </c>
      <c r="D42" s="8" t="s">
        <v>493</v>
      </c>
      <c r="E42" s="8" t="s">
        <v>494</v>
      </c>
      <c r="F42" s="9" t="s">
        <v>408</v>
      </c>
      <c r="G42" s="9" t="n">
        <v>1</v>
      </c>
      <c r="H42" s="9" t="n">
        <v>3</v>
      </c>
      <c r="I42" s="8" t="s">
        <v>109</v>
      </c>
      <c r="J42" s="8" t="n">
        <v>143</v>
      </c>
      <c r="K42" s="8" t="n">
        <v>1.5</v>
      </c>
      <c r="L42" s="8"/>
      <c r="M42" s="8"/>
      <c r="N42" s="8"/>
    </row>
    <row r="43" customFormat="false" ht="15" hidden="false" customHeight="false" outlineLevel="0" collapsed="false">
      <c r="A43" s="8" t="n">
        <v>42</v>
      </c>
      <c r="B43" s="8" t="n">
        <v>1</v>
      </c>
      <c r="C43" s="8" t="s">
        <v>492</v>
      </c>
      <c r="D43" s="8" t="s">
        <v>495</v>
      </c>
      <c r="E43" s="8" t="s">
        <v>496</v>
      </c>
      <c r="F43" s="9" t="s">
        <v>408</v>
      </c>
      <c r="G43" s="9" t="n">
        <v>1</v>
      </c>
      <c r="H43" s="9" t="n">
        <v>3</v>
      </c>
      <c r="I43" s="8" t="s">
        <v>109</v>
      </c>
      <c r="J43" s="8" t="n">
        <v>147</v>
      </c>
      <c r="K43" s="8" t="n">
        <v>1.5</v>
      </c>
      <c r="L43" s="8"/>
      <c r="M43" s="8"/>
      <c r="N43" s="8"/>
    </row>
    <row r="44" customFormat="false" ht="15" hidden="false" customHeight="false" outlineLevel="0" collapsed="false">
      <c r="A44" s="8" t="n">
        <v>43</v>
      </c>
      <c r="B44" s="8" t="n">
        <v>1</v>
      </c>
      <c r="C44" s="8" t="s">
        <v>492</v>
      </c>
      <c r="D44" s="8" t="s">
        <v>497</v>
      </c>
      <c r="E44" s="8" t="s">
        <v>498</v>
      </c>
      <c r="F44" s="9" t="s">
        <v>408</v>
      </c>
      <c r="G44" s="9" t="n">
        <v>1</v>
      </c>
      <c r="H44" s="9" t="n">
        <v>3</v>
      </c>
      <c r="I44" s="8" t="s">
        <v>109</v>
      </c>
      <c r="J44" s="8" t="n">
        <v>150</v>
      </c>
      <c r="K44" s="8" t="n">
        <v>1.5</v>
      </c>
      <c r="L44" s="8"/>
      <c r="M44" s="8"/>
      <c r="N44" s="8"/>
    </row>
    <row r="45" customFormat="false" ht="15" hidden="false" customHeight="false" outlineLevel="0" collapsed="false">
      <c r="A45" s="8" t="n">
        <v>44</v>
      </c>
      <c r="B45" s="8" t="n">
        <v>1</v>
      </c>
      <c r="C45" s="8" t="s">
        <v>492</v>
      </c>
      <c r="D45" s="8" t="s">
        <v>499</v>
      </c>
      <c r="E45" s="8" t="s">
        <v>500</v>
      </c>
      <c r="F45" s="9" t="s">
        <v>408</v>
      </c>
      <c r="G45" s="9" t="n">
        <v>1</v>
      </c>
      <c r="H45" s="9" t="n">
        <v>3</v>
      </c>
      <c r="I45" s="8" t="s">
        <v>109</v>
      </c>
      <c r="J45" s="8" t="n">
        <v>153</v>
      </c>
      <c r="K45" s="8" t="n">
        <v>1.5</v>
      </c>
      <c r="L45" s="8"/>
      <c r="M45" s="8"/>
      <c r="N45" s="8"/>
    </row>
    <row r="46" customFormat="false" ht="15" hidden="false" customHeight="false" outlineLevel="0" collapsed="false">
      <c r="A46" s="8" t="n">
        <v>45</v>
      </c>
      <c r="B46" s="8" t="n">
        <v>1</v>
      </c>
      <c r="C46" s="8" t="s">
        <v>492</v>
      </c>
      <c r="D46" s="8" t="s">
        <v>501</v>
      </c>
      <c r="E46" s="8" t="s">
        <v>502</v>
      </c>
      <c r="F46" s="9" t="s">
        <v>408</v>
      </c>
      <c r="G46" s="9" t="n">
        <v>1</v>
      </c>
      <c r="H46" s="9" t="n">
        <v>3</v>
      </c>
      <c r="I46" s="8" t="s">
        <v>109</v>
      </c>
      <c r="J46" s="8" t="n">
        <v>155</v>
      </c>
      <c r="K46" s="8" t="n">
        <v>1.5</v>
      </c>
      <c r="L46" s="8"/>
      <c r="M46" s="8"/>
      <c r="N46" s="8"/>
    </row>
    <row r="47" customFormat="false" ht="15" hidden="false" customHeight="false" outlineLevel="0" collapsed="false">
      <c r="A47" s="8" t="n">
        <v>46</v>
      </c>
      <c r="B47" s="8" t="n">
        <v>1</v>
      </c>
      <c r="C47" s="8" t="s">
        <v>503</v>
      </c>
      <c r="D47" s="8" t="s">
        <v>504</v>
      </c>
      <c r="E47" s="8" t="s">
        <v>505</v>
      </c>
      <c r="F47" s="9" t="s">
        <v>408</v>
      </c>
      <c r="G47" s="9" t="n">
        <v>1</v>
      </c>
      <c r="H47" s="9" t="n">
        <v>3</v>
      </c>
      <c r="I47" s="8" t="s">
        <v>109</v>
      </c>
      <c r="J47" s="8" t="n">
        <v>157</v>
      </c>
      <c r="K47" s="8" t="n">
        <v>1.5</v>
      </c>
      <c r="L47" s="8"/>
      <c r="M47" s="8"/>
      <c r="N47" s="8"/>
    </row>
    <row r="48" customFormat="false" ht="15" hidden="false" customHeight="false" outlineLevel="0" collapsed="false">
      <c r="A48" s="8" t="n">
        <v>47</v>
      </c>
      <c r="B48" s="8" t="n">
        <v>1</v>
      </c>
      <c r="C48" s="8" t="s">
        <v>503</v>
      </c>
      <c r="D48" s="8" t="s">
        <v>506</v>
      </c>
      <c r="E48" s="8" t="s">
        <v>507</v>
      </c>
      <c r="F48" s="9" t="s">
        <v>408</v>
      </c>
      <c r="G48" s="9" t="n">
        <v>1</v>
      </c>
      <c r="H48" s="9" t="n">
        <v>3</v>
      </c>
      <c r="I48" s="8" t="s">
        <v>109</v>
      </c>
      <c r="J48" s="8" t="n">
        <v>159</v>
      </c>
      <c r="K48" s="8" t="n">
        <v>1.5</v>
      </c>
      <c r="L48" s="8"/>
      <c r="M48" s="8"/>
      <c r="N48" s="8"/>
    </row>
    <row r="49" customFormat="false" ht="15" hidden="false" customHeight="false" outlineLevel="0" collapsed="false">
      <c r="A49" s="8" t="n">
        <v>48</v>
      </c>
      <c r="B49" s="8" t="n">
        <v>1</v>
      </c>
      <c r="C49" s="8" t="s">
        <v>503</v>
      </c>
      <c r="D49" s="8" t="s">
        <v>508</v>
      </c>
      <c r="E49" s="8" t="s">
        <v>509</v>
      </c>
      <c r="F49" s="9" t="s">
        <v>408</v>
      </c>
      <c r="G49" s="9" t="n">
        <v>1</v>
      </c>
      <c r="H49" s="9" t="n">
        <v>3</v>
      </c>
      <c r="I49" s="8" t="s">
        <v>109</v>
      </c>
      <c r="J49" s="8" t="n">
        <v>161</v>
      </c>
      <c r="K49" s="8" t="n">
        <v>1.5</v>
      </c>
      <c r="L49" s="8"/>
      <c r="M49" s="8"/>
      <c r="N49" s="8"/>
    </row>
    <row r="50" customFormat="false" ht="15" hidden="false" customHeight="false" outlineLevel="0" collapsed="false">
      <c r="A50" s="8" t="n">
        <v>49</v>
      </c>
      <c r="B50" s="8" t="n">
        <v>1</v>
      </c>
      <c r="C50" s="8" t="s">
        <v>503</v>
      </c>
      <c r="D50" s="8" t="s">
        <v>510</v>
      </c>
      <c r="E50" s="8" t="s">
        <v>511</v>
      </c>
      <c r="F50" s="9" t="s">
        <v>408</v>
      </c>
      <c r="G50" s="9" t="n">
        <v>1</v>
      </c>
      <c r="H50" s="9" t="n">
        <v>3</v>
      </c>
      <c r="I50" s="8" t="s">
        <v>109</v>
      </c>
      <c r="J50" s="8" t="n">
        <v>166</v>
      </c>
      <c r="K50" s="8" t="n">
        <v>1.5</v>
      </c>
      <c r="L50" s="8"/>
      <c r="M50" s="8"/>
      <c r="N50" s="8"/>
    </row>
    <row r="51" customFormat="false" ht="15" hidden="false" customHeight="false" outlineLevel="0" collapsed="false">
      <c r="A51" s="8" t="n">
        <v>50</v>
      </c>
      <c r="B51" s="8" t="n">
        <v>1</v>
      </c>
      <c r="C51" s="8" t="s">
        <v>503</v>
      </c>
      <c r="D51" s="8" t="s">
        <v>512</v>
      </c>
      <c r="E51" s="8" t="s">
        <v>513</v>
      </c>
      <c r="F51" s="9" t="s">
        <v>408</v>
      </c>
      <c r="G51" s="9" t="n">
        <v>1</v>
      </c>
      <c r="H51" s="9" t="n">
        <v>3</v>
      </c>
      <c r="I51" s="8" t="s">
        <v>109</v>
      </c>
      <c r="J51" s="8" t="n">
        <v>176</v>
      </c>
      <c r="K51" s="8" t="n">
        <v>1.5</v>
      </c>
      <c r="L51" s="8"/>
      <c r="M51" s="8"/>
      <c r="N51" s="8"/>
    </row>
    <row r="52" customFormat="false" ht="15" hidden="false" customHeight="false" outlineLevel="0" collapsed="false">
      <c r="A52" s="8" t="n">
        <v>51</v>
      </c>
      <c r="B52" s="8" t="n">
        <v>2</v>
      </c>
      <c r="C52" s="8" t="s">
        <v>514</v>
      </c>
      <c r="D52" s="8" t="s">
        <v>406</v>
      </c>
      <c r="E52" s="8" t="s">
        <v>515</v>
      </c>
      <c r="F52" s="9" t="s">
        <v>408</v>
      </c>
      <c r="G52" s="9" t="n">
        <v>1</v>
      </c>
      <c r="H52" s="9" t="n">
        <v>3</v>
      </c>
      <c r="I52" s="8" t="s">
        <v>119</v>
      </c>
      <c r="J52" s="8" t="n">
        <v>5</v>
      </c>
      <c r="K52" s="8" t="n">
        <v>1.5</v>
      </c>
      <c r="L52" s="8"/>
      <c r="M52" s="8"/>
      <c r="N52" s="8" t="s">
        <v>516</v>
      </c>
    </row>
    <row r="53" customFormat="false" ht="15" hidden="false" customHeight="false" outlineLevel="0" collapsed="false">
      <c r="A53" s="8" t="n">
        <v>52</v>
      </c>
      <c r="B53" s="8" t="n">
        <v>2</v>
      </c>
      <c r="C53" s="8" t="s">
        <v>514</v>
      </c>
      <c r="D53" s="8" t="s">
        <v>517</v>
      </c>
      <c r="E53" s="8" t="s">
        <v>518</v>
      </c>
      <c r="F53" s="9" t="s">
        <v>408</v>
      </c>
      <c r="G53" s="9" t="n">
        <v>1</v>
      </c>
      <c r="H53" s="9" t="n">
        <v>3</v>
      </c>
      <c r="I53" s="8" t="s">
        <v>119</v>
      </c>
      <c r="J53" s="8" t="n">
        <v>8</v>
      </c>
      <c r="K53" s="8" t="n">
        <v>1.5</v>
      </c>
      <c r="L53" s="8"/>
      <c r="M53" s="8"/>
      <c r="N53" s="8" t="s">
        <v>519</v>
      </c>
    </row>
    <row r="54" customFormat="false" ht="15" hidden="false" customHeight="false" outlineLevel="0" collapsed="false">
      <c r="A54" s="8" t="n">
        <v>53</v>
      </c>
      <c r="B54" s="8" t="n">
        <v>2</v>
      </c>
      <c r="C54" s="8" t="s">
        <v>514</v>
      </c>
      <c r="D54" s="8" t="s">
        <v>520</v>
      </c>
      <c r="E54" s="8" t="s">
        <v>521</v>
      </c>
      <c r="F54" s="9" t="s">
        <v>408</v>
      </c>
      <c r="G54" s="9" t="n">
        <v>1</v>
      </c>
      <c r="H54" s="9" t="n">
        <v>3</v>
      </c>
      <c r="I54" s="8" t="s">
        <v>119</v>
      </c>
      <c r="J54" s="8" t="n">
        <v>14</v>
      </c>
      <c r="K54" s="8" t="n">
        <v>1.5</v>
      </c>
      <c r="L54" s="8"/>
      <c r="M54" s="8"/>
      <c r="N54" s="8" t="s">
        <v>522</v>
      </c>
    </row>
    <row r="55" customFormat="false" ht="15" hidden="false" customHeight="false" outlineLevel="0" collapsed="false">
      <c r="A55" s="8" t="n">
        <v>54</v>
      </c>
      <c r="B55" s="8" t="n">
        <v>2</v>
      </c>
      <c r="C55" s="8" t="s">
        <v>514</v>
      </c>
      <c r="D55" s="8" t="s">
        <v>523</v>
      </c>
      <c r="E55" s="8" t="s">
        <v>524</v>
      </c>
      <c r="F55" s="9" t="s">
        <v>408</v>
      </c>
      <c r="G55" s="9" t="n">
        <v>1</v>
      </c>
      <c r="H55" s="9" t="n">
        <v>3</v>
      </c>
      <c r="I55" s="8" t="s">
        <v>119</v>
      </c>
      <c r="J55" s="8" t="n">
        <v>19</v>
      </c>
      <c r="K55" s="8" t="n">
        <v>1.5</v>
      </c>
      <c r="L55" s="8"/>
      <c r="M55" s="8"/>
      <c r="N55" s="8" t="s">
        <v>525</v>
      </c>
    </row>
    <row r="56" customFormat="false" ht="15" hidden="false" customHeight="false" outlineLevel="0" collapsed="false">
      <c r="A56" s="8" t="n">
        <v>55</v>
      </c>
      <c r="B56" s="8" t="n">
        <v>2</v>
      </c>
      <c r="C56" s="8" t="s">
        <v>514</v>
      </c>
      <c r="D56" s="8" t="s">
        <v>526</v>
      </c>
      <c r="E56" s="8" t="s">
        <v>527</v>
      </c>
      <c r="F56" s="9" t="s">
        <v>408</v>
      </c>
      <c r="G56" s="9" t="n">
        <v>1</v>
      </c>
      <c r="H56" s="9" t="n">
        <v>3</v>
      </c>
      <c r="I56" s="8" t="s">
        <v>119</v>
      </c>
      <c r="J56" s="8" t="n">
        <v>21</v>
      </c>
      <c r="K56" s="8" t="n">
        <v>1.5</v>
      </c>
      <c r="L56" s="8"/>
      <c r="M56" s="8"/>
      <c r="N56" s="8" t="s">
        <v>528</v>
      </c>
    </row>
    <row r="57" customFormat="false" ht="15" hidden="false" customHeight="false" outlineLevel="0" collapsed="false">
      <c r="A57" s="8" t="n">
        <v>56</v>
      </c>
      <c r="B57" s="8" t="n">
        <v>2</v>
      </c>
      <c r="C57" s="8" t="s">
        <v>514</v>
      </c>
      <c r="D57" s="8" t="s">
        <v>529</v>
      </c>
      <c r="E57" s="8" t="s">
        <v>530</v>
      </c>
      <c r="F57" s="9" t="s">
        <v>408</v>
      </c>
      <c r="G57" s="9" t="n">
        <v>1</v>
      </c>
      <c r="H57" s="9" t="n">
        <v>3</v>
      </c>
      <c r="I57" s="8" t="s">
        <v>119</v>
      </c>
      <c r="J57" s="8" t="n">
        <v>24</v>
      </c>
      <c r="K57" s="8" t="n">
        <v>1.5</v>
      </c>
      <c r="L57" s="8"/>
      <c r="M57" s="8"/>
      <c r="N57" s="8" t="s">
        <v>531</v>
      </c>
    </row>
    <row r="58" customFormat="false" ht="15" hidden="false" customHeight="false" outlineLevel="0" collapsed="false">
      <c r="A58" s="8" t="n">
        <v>57</v>
      </c>
      <c r="B58" s="8" t="n">
        <v>2</v>
      </c>
      <c r="C58" s="8" t="s">
        <v>514</v>
      </c>
      <c r="D58" s="8" t="s">
        <v>532</v>
      </c>
      <c r="E58" s="8" t="s">
        <v>533</v>
      </c>
      <c r="F58" s="9" t="s">
        <v>408</v>
      </c>
      <c r="G58" s="9" t="n">
        <v>1</v>
      </c>
      <c r="H58" s="9" t="n">
        <v>3</v>
      </c>
      <c r="I58" s="8" t="s">
        <v>119</v>
      </c>
      <c r="J58" s="8" t="n">
        <v>25</v>
      </c>
      <c r="K58" s="8" t="n">
        <v>1.5</v>
      </c>
      <c r="L58" s="8"/>
      <c r="M58" s="8"/>
      <c r="N58" s="8" t="s">
        <v>534</v>
      </c>
    </row>
    <row r="59" customFormat="false" ht="15" hidden="false" customHeight="false" outlineLevel="0" collapsed="false">
      <c r="A59" s="8" t="n">
        <v>58</v>
      </c>
      <c r="B59" s="8" t="n">
        <v>2</v>
      </c>
      <c r="C59" s="8" t="s">
        <v>514</v>
      </c>
      <c r="D59" s="8" t="s">
        <v>409</v>
      </c>
      <c r="E59" s="8" t="s">
        <v>535</v>
      </c>
      <c r="F59" s="9" t="s">
        <v>408</v>
      </c>
      <c r="G59" s="9" t="n">
        <v>1</v>
      </c>
      <c r="H59" s="9" t="n">
        <v>3</v>
      </c>
      <c r="I59" s="8" t="s">
        <v>119</v>
      </c>
      <c r="J59" s="8" t="n">
        <v>29</v>
      </c>
      <c r="K59" s="8" t="n">
        <v>1.5</v>
      </c>
      <c r="L59" s="8"/>
      <c r="M59" s="8"/>
      <c r="N59" s="8" t="s">
        <v>536</v>
      </c>
    </row>
    <row r="60" customFormat="false" ht="15" hidden="false" customHeight="false" outlineLevel="0" collapsed="false">
      <c r="A60" s="8" t="n">
        <v>59</v>
      </c>
      <c r="B60" s="8" t="n">
        <v>2</v>
      </c>
      <c r="C60" s="8" t="s">
        <v>514</v>
      </c>
      <c r="D60" s="8" t="s">
        <v>537</v>
      </c>
      <c r="E60" s="8" t="s">
        <v>538</v>
      </c>
      <c r="F60" s="9" t="s">
        <v>408</v>
      </c>
      <c r="G60" s="9" t="n">
        <v>1</v>
      </c>
      <c r="H60" s="9" t="n">
        <v>3</v>
      </c>
      <c r="I60" s="8" t="s">
        <v>119</v>
      </c>
      <c r="J60" s="8" t="n">
        <v>34</v>
      </c>
      <c r="K60" s="8" t="n">
        <v>1.5</v>
      </c>
      <c r="L60" s="8"/>
      <c r="M60" s="8"/>
      <c r="N60" s="8" t="s">
        <v>539</v>
      </c>
    </row>
    <row r="61" customFormat="false" ht="15" hidden="false" customHeight="false" outlineLevel="0" collapsed="false">
      <c r="A61" s="8" t="n">
        <v>60</v>
      </c>
      <c r="B61" s="8" t="n">
        <v>2</v>
      </c>
      <c r="C61" s="8" t="s">
        <v>514</v>
      </c>
      <c r="D61" s="8" t="s">
        <v>411</v>
      </c>
      <c r="E61" s="8" t="s">
        <v>540</v>
      </c>
      <c r="F61" s="9" t="s">
        <v>408</v>
      </c>
      <c r="G61" s="9" t="n">
        <v>1</v>
      </c>
      <c r="H61" s="9" t="n">
        <v>3</v>
      </c>
      <c r="I61" s="8" t="s">
        <v>119</v>
      </c>
      <c r="J61" s="8" t="n">
        <v>37</v>
      </c>
      <c r="K61" s="8" t="n">
        <v>1.5</v>
      </c>
      <c r="L61" s="8"/>
      <c r="M61" s="8"/>
      <c r="N61" s="8" t="s">
        <v>541</v>
      </c>
    </row>
    <row r="62" customFormat="false" ht="15" hidden="false" customHeight="false" outlineLevel="0" collapsed="false">
      <c r="A62" s="8" t="n">
        <v>61</v>
      </c>
      <c r="B62" s="8" t="n">
        <v>2</v>
      </c>
      <c r="C62" s="8" t="s">
        <v>514</v>
      </c>
      <c r="D62" s="8" t="s">
        <v>542</v>
      </c>
      <c r="E62" s="8" t="s">
        <v>543</v>
      </c>
      <c r="F62" s="9" t="s">
        <v>408</v>
      </c>
      <c r="G62" s="9" t="n">
        <v>1</v>
      </c>
      <c r="H62" s="9" t="n">
        <v>3</v>
      </c>
      <c r="I62" s="8" t="s">
        <v>119</v>
      </c>
      <c r="J62" s="8" t="n">
        <v>39</v>
      </c>
      <c r="K62" s="8" t="n">
        <v>1.5</v>
      </c>
      <c r="L62" s="8"/>
      <c r="M62" s="8"/>
      <c r="N62" s="8" t="s">
        <v>544</v>
      </c>
    </row>
    <row r="63" customFormat="false" ht="15" hidden="false" customHeight="false" outlineLevel="0" collapsed="false">
      <c r="A63" s="8" t="n">
        <v>62</v>
      </c>
      <c r="B63" s="8" t="n">
        <v>2</v>
      </c>
      <c r="C63" s="8" t="s">
        <v>514</v>
      </c>
      <c r="D63" s="8" t="s">
        <v>545</v>
      </c>
      <c r="E63" s="8" t="s">
        <v>546</v>
      </c>
      <c r="F63" s="9" t="s">
        <v>408</v>
      </c>
      <c r="G63" s="9" t="n">
        <v>1</v>
      </c>
      <c r="H63" s="9" t="n">
        <v>3</v>
      </c>
      <c r="I63" s="8" t="s">
        <v>119</v>
      </c>
      <c r="J63" s="8" t="n">
        <v>45</v>
      </c>
      <c r="K63" s="8" t="n">
        <v>1.5</v>
      </c>
      <c r="L63" s="8"/>
      <c r="M63" s="8"/>
      <c r="N63" s="8" t="s">
        <v>547</v>
      </c>
    </row>
    <row r="64" customFormat="false" ht="15" hidden="false" customHeight="false" outlineLevel="0" collapsed="false">
      <c r="A64" s="8" t="n">
        <v>63</v>
      </c>
      <c r="B64" s="8" t="n">
        <v>2</v>
      </c>
      <c r="C64" s="8" t="s">
        <v>548</v>
      </c>
      <c r="D64" s="8" t="s">
        <v>420</v>
      </c>
      <c r="E64" s="8" t="s">
        <v>549</v>
      </c>
      <c r="F64" s="9" t="s">
        <v>408</v>
      </c>
      <c r="G64" s="9" t="n">
        <v>1</v>
      </c>
      <c r="H64" s="9" t="n">
        <v>3</v>
      </c>
      <c r="I64" s="8" t="s">
        <v>121</v>
      </c>
      <c r="J64" s="8" t="n">
        <v>7</v>
      </c>
      <c r="K64" s="8" t="n">
        <v>1.5</v>
      </c>
      <c r="L64" s="8"/>
      <c r="M64" s="8"/>
      <c r="N64" s="8" t="s">
        <v>550</v>
      </c>
    </row>
    <row r="65" customFormat="false" ht="15" hidden="false" customHeight="false" outlineLevel="0" collapsed="false">
      <c r="A65" s="8" t="n">
        <v>64</v>
      </c>
      <c r="B65" s="8" t="n">
        <v>2</v>
      </c>
      <c r="C65" s="8" t="s">
        <v>548</v>
      </c>
      <c r="D65" s="8" t="s">
        <v>551</v>
      </c>
      <c r="E65" s="8" t="s">
        <v>552</v>
      </c>
      <c r="F65" s="9" t="s">
        <v>408</v>
      </c>
      <c r="G65" s="9" t="n">
        <v>1</v>
      </c>
      <c r="H65" s="9" t="n">
        <v>3</v>
      </c>
      <c r="I65" s="8" t="s">
        <v>121</v>
      </c>
      <c r="J65" s="8" t="n">
        <v>24</v>
      </c>
      <c r="K65" s="8" t="n">
        <v>1.5</v>
      </c>
      <c r="L65" s="8"/>
      <c r="M65" s="8"/>
      <c r="N65" s="8" t="s">
        <v>553</v>
      </c>
    </row>
    <row r="66" customFormat="false" ht="15" hidden="false" customHeight="false" outlineLevel="0" collapsed="false">
      <c r="A66" s="8" t="n">
        <v>65</v>
      </c>
      <c r="B66" s="8" t="n">
        <v>2</v>
      </c>
      <c r="C66" s="8" t="s">
        <v>548</v>
      </c>
      <c r="D66" s="8" t="s">
        <v>422</v>
      </c>
      <c r="E66" s="8" t="s">
        <v>554</v>
      </c>
      <c r="F66" s="9" t="s">
        <v>408</v>
      </c>
      <c r="G66" s="9" t="n">
        <v>1</v>
      </c>
      <c r="H66" s="9" t="n">
        <v>3</v>
      </c>
      <c r="I66" s="8" t="s">
        <v>121</v>
      </c>
      <c r="J66" s="8" t="n">
        <v>27</v>
      </c>
      <c r="K66" s="8" t="n">
        <v>1.5</v>
      </c>
      <c r="L66" s="8"/>
      <c r="M66" s="8"/>
      <c r="N66" s="8" t="s">
        <v>555</v>
      </c>
    </row>
    <row r="67" customFormat="false" ht="15" hidden="false" customHeight="false" outlineLevel="0" collapsed="false">
      <c r="A67" s="8" t="n">
        <v>66</v>
      </c>
      <c r="B67" s="8" t="n">
        <v>2</v>
      </c>
      <c r="C67" s="8" t="s">
        <v>548</v>
      </c>
      <c r="D67" s="8" t="s">
        <v>424</v>
      </c>
      <c r="E67" s="8" t="s">
        <v>556</v>
      </c>
      <c r="F67" s="9" t="s">
        <v>408</v>
      </c>
      <c r="G67" s="9" t="n">
        <v>1</v>
      </c>
      <c r="H67" s="9" t="n">
        <v>3</v>
      </c>
      <c r="I67" s="8" t="s">
        <v>121</v>
      </c>
      <c r="J67" s="8" t="n">
        <v>29</v>
      </c>
      <c r="K67" s="8" t="n">
        <v>1.5</v>
      </c>
      <c r="L67" s="8"/>
      <c r="M67" s="8"/>
      <c r="N67" s="8" t="s">
        <v>557</v>
      </c>
    </row>
    <row r="68" customFormat="false" ht="15" hidden="false" customHeight="false" outlineLevel="0" collapsed="false">
      <c r="A68" s="8" t="n">
        <v>67</v>
      </c>
      <c r="B68" s="8" t="n">
        <v>2</v>
      </c>
      <c r="C68" s="8" t="s">
        <v>548</v>
      </c>
      <c r="D68" s="8" t="s">
        <v>558</v>
      </c>
      <c r="E68" s="8" t="s">
        <v>559</v>
      </c>
      <c r="F68" s="9" t="s">
        <v>408</v>
      </c>
      <c r="G68" s="9" t="n">
        <v>1</v>
      </c>
      <c r="H68" s="9" t="n">
        <v>3</v>
      </c>
      <c r="I68" s="8" t="s">
        <v>121</v>
      </c>
      <c r="J68" s="8" t="n">
        <v>32</v>
      </c>
      <c r="K68" s="8" t="n">
        <v>1.5</v>
      </c>
      <c r="L68" s="8"/>
      <c r="M68" s="8"/>
      <c r="N68" s="8" t="s">
        <v>560</v>
      </c>
    </row>
    <row r="69" customFormat="false" ht="15" hidden="false" customHeight="false" outlineLevel="0" collapsed="false">
      <c r="A69" s="8" t="n">
        <v>68</v>
      </c>
      <c r="B69" s="8" t="n">
        <v>2</v>
      </c>
      <c r="C69" s="8" t="s">
        <v>548</v>
      </c>
      <c r="D69" s="8" t="s">
        <v>561</v>
      </c>
      <c r="E69" s="8" t="s">
        <v>562</v>
      </c>
      <c r="F69" s="9" t="s">
        <v>408</v>
      </c>
      <c r="G69" s="9" t="n">
        <v>1</v>
      </c>
      <c r="H69" s="9" t="n">
        <v>3</v>
      </c>
      <c r="I69" s="8" t="s">
        <v>121</v>
      </c>
      <c r="J69" s="8" t="n">
        <v>34</v>
      </c>
      <c r="K69" s="8" t="n">
        <v>1.5</v>
      </c>
      <c r="L69" s="8"/>
      <c r="M69" s="8"/>
      <c r="N69" s="8" t="s">
        <v>563</v>
      </c>
    </row>
    <row r="70" customFormat="false" ht="15" hidden="false" customHeight="false" outlineLevel="0" collapsed="false">
      <c r="A70" s="8" t="n">
        <v>69</v>
      </c>
      <c r="B70" s="8" t="n">
        <v>2</v>
      </c>
      <c r="C70" s="8" t="s">
        <v>548</v>
      </c>
      <c r="D70" s="8" t="s">
        <v>426</v>
      </c>
      <c r="E70" s="8" t="s">
        <v>564</v>
      </c>
      <c r="F70" s="9" t="s">
        <v>408</v>
      </c>
      <c r="G70" s="9" t="n">
        <v>1</v>
      </c>
      <c r="H70" s="9" t="n">
        <v>3</v>
      </c>
      <c r="I70" s="8" t="s">
        <v>121</v>
      </c>
      <c r="J70" s="8" t="n">
        <v>39</v>
      </c>
      <c r="K70" s="8" t="n">
        <v>1.5</v>
      </c>
      <c r="L70" s="8"/>
      <c r="M70" s="8"/>
      <c r="N70" s="8" t="s">
        <v>565</v>
      </c>
    </row>
    <row r="71" customFormat="false" ht="15" hidden="false" customHeight="false" outlineLevel="0" collapsed="false">
      <c r="A71" s="8" t="n">
        <v>70</v>
      </c>
      <c r="B71" s="8" t="n">
        <v>2</v>
      </c>
      <c r="C71" s="8" t="s">
        <v>548</v>
      </c>
      <c r="D71" s="8" t="s">
        <v>428</v>
      </c>
      <c r="E71" s="8" t="s">
        <v>566</v>
      </c>
      <c r="F71" s="9" t="s">
        <v>408</v>
      </c>
      <c r="G71" s="9" t="n">
        <v>1</v>
      </c>
      <c r="H71" s="9" t="n">
        <v>3</v>
      </c>
      <c r="I71" s="8" t="s">
        <v>121</v>
      </c>
      <c r="J71" s="8" t="n">
        <v>45</v>
      </c>
      <c r="K71" s="8" t="n">
        <v>1.5</v>
      </c>
      <c r="L71" s="8"/>
      <c r="M71" s="8"/>
      <c r="N71" s="8" t="s">
        <v>567</v>
      </c>
    </row>
    <row r="72" customFormat="false" ht="15" hidden="false" customHeight="false" outlineLevel="0" collapsed="false">
      <c r="A72" s="8" t="n">
        <v>71</v>
      </c>
      <c r="B72" s="8" t="n">
        <v>2</v>
      </c>
      <c r="C72" s="8" t="s">
        <v>548</v>
      </c>
      <c r="D72" s="8" t="s">
        <v>430</v>
      </c>
      <c r="E72" s="8" t="s">
        <v>568</v>
      </c>
      <c r="F72" s="9" t="s">
        <v>408</v>
      </c>
      <c r="G72" s="9" t="n">
        <v>1</v>
      </c>
      <c r="H72" s="9" t="n">
        <v>3</v>
      </c>
      <c r="I72" s="8" t="s">
        <v>121</v>
      </c>
      <c r="J72" s="8" t="n">
        <v>47</v>
      </c>
      <c r="K72" s="8" t="n">
        <v>1.5</v>
      </c>
      <c r="L72" s="8"/>
      <c r="M72" s="8"/>
      <c r="N72" s="8" t="s">
        <v>569</v>
      </c>
    </row>
    <row r="73" customFormat="false" ht="15" hidden="false" customHeight="false" outlineLevel="0" collapsed="false">
      <c r="A73" s="8" t="n">
        <v>72</v>
      </c>
      <c r="B73" s="8" t="n">
        <v>2</v>
      </c>
      <c r="C73" s="8" t="s">
        <v>548</v>
      </c>
      <c r="D73" s="8" t="s">
        <v>432</v>
      </c>
      <c r="E73" s="8" t="s">
        <v>570</v>
      </c>
      <c r="F73" s="9" t="s">
        <v>408</v>
      </c>
      <c r="G73" s="9" t="n">
        <v>1</v>
      </c>
      <c r="H73" s="9" t="n">
        <v>3</v>
      </c>
      <c r="I73" s="8" t="s">
        <v>121</v>
      </c>
      <c r="J73" s="8" t="n">
        <v>53</v>
      </c>
      <c r="K73" s="8" t="n">
        <v>1.5</v>
      </c>
      <c r="L73" s="8"/>
      <c r="M73" s="8"/>
      <c r="N73" s="8" t="s">
        <v>571</v>
      </c>
    </row>
    <row r="74" customFormat="false" ht="15" hidden="false" customHeight="false" outlineLevel="0" collapsed="false">
      <c r="A74" s="8" t="n">
        <v>73</v>
      </c>
      <c r="B74" s="8" t="n">
        <v>2</v>
      </c>
      <c r="C74" s="8" t="s">
        <v>572</v>
      </c>
      <c r="D74" s="8" t="s">
        <v>435</v>
      </c>
      <c r="E74" s="8" t="s">
        <v>573</v>
      </c>
      <c r="F74" s="9" t="s">
        <v>408</v>
      </c>
      <c r="G74" s="9" t="n">
        <v>1</v>
      </c>
      <c r="H74" s="9" t="n">
        <v>3</v>
      </c>
      <c r="I74" s="8" t="s">
        <v>123</v>
      </c>
      <c r="J74" s="8" t="n">
        <v>5</v>
      </c>
      <c r="K74" s="8" t="n">
        <v>1.5</v>
      </c>
      <c r="L74" s="8"/>
      <c r="M74" s="8"/>
      <c r="N74" s="8" t="s">
        <v>574</v>
      </c>
    </row>
    <row r="75" customFormat="false" ht="15" hidden="false" customHeight="false" outlineLevel="0" collapsed="false">
      <c r="A75" s="8" t="n">
        <v>74</v>
      </c>
      <c r="B75" s="8" t="n">
        <v>2</v>
      </c>
      <c r="C75" s="8" t="s">
        <v>572</v>
      </c>
      <c r="D75" s="8" t="s">
        <v>437</v>
      </c>
      <c r="E75" s="8" t="s">
        <v>575</v>
      </c>
      <c r="F75" s="9" t="s">
        <v>408</v>
      </c>
      <c r="G75" s="9" t="n">
        <v>1</v>
      </c>
      <c r="H75" s="9" t="n">
        <v>3</v>
      </c>
      <c r="I75" s="8" t="s">
        <v>123</v>
      </c>
      <c r="J75" s="8" t="n">
        <v>6</v>
      </c>
      <c r="K75" s="8" t="n">
        <v>1.5</v>
      </c>
      <c r="L75" s="8"/>
      <c r="M75" s="8"/>
      <c r="N75" s="8" t="s">
        <v>576</v>
      </c>
    </row>
    <row r="76" customFormat="false" ht="15" hidden="false" customHeight="false" outlineLevel="0" collapsed="false">
      <c r="A76" s="8" t="n">
        <v>75</v>
      </c>
      <c r="B76" s="8" t="n">
        <v>2</v>
      </c>
      <c r="C76" s="8" t="s">
        <v>572</v>
      </c>
      <c r="D76" s="8" t="s">
        <v>439</v>
      </c>
      <c r="E76" s="8" t="s">
        <v>577</v>
      </c>
      <c r="F76" s="9" t="s">
        <v>408</v>
      </c>
      <c r="G76" s="9" t="n">
        <v>1</v>
      </c>
      <c r="H76" s="9" t="n">
        <v>3</v>
      </c>
      <c r="I76" s="8" t="s">
        <v>123</v>
      </c>
      <c r="J76" s="8" t="n">
        <v>12</v>
      </c>
      <c r="K76" s="8" t="n">
        <v>1.5</v>
      </c>
      <c r="L76" s="8"/>
      <c r="M76" s="8"/>
      <c r="N76" s="8" t="s">
        <v>578</v>
      </c>
    </row>
    <row r="77" customFormat="false" ht="15" hidden="false" customHeight="false" outlineLevel="0" collapsed="false">
      <c r="A77" s="8" t="n">
        <v>76</v>
      </c>
      <c r="B77" s="8" t="n">
        <v>2</v>
      </c>
      <c r="C77" s="8" t="s">
        <v>572</v>
      </c>
      <c r="D77" s="8" t="s">
        <v>441</v>
      </c>
      <c r="E77" s="8" t="s">
        <v>579</v>
      </c>
      <c r="F77" s="9" t="s">
        <v>408</v>
      </c>
      <c r="G77" s="9" t="n">
        <v>1</v>
      </c>
      <c r="H77" s="9" t="n">
        <v>3</v>
      </c>
      <c r="I77" s="8" t="s">
        <v>123</v>
      </c>
      <c r="J77" s="8" t="n">
        <v>13</v>
      </c>
      <c r="K77" s="8" t="n">
        <v>1.5</v>
      </c>
      <c r="L77" s="8"/>
      <c r="M77" s="8"/>
      <c r="N77" s="8" t="s">
        <v>580</v>
      </c>
    </row>
    <row r="78" customFormat="false" ht="15" hidden="false" customHeight="false" outlineLevel="0" collapsed="false">
      <c r="A78" s="8" t="n">
        <v>77</v>
      </c>
      <c r="B78" s="8" t="n">
        <v>2</v>
      </c>
      <c r="C78" s="8" t="s">
        <v>572</v>
      </c>
      <c r="D78" s="8" t="s">
        <v>443</v>
      </c>
      <c r="E78" s="8" t="s">
        <v>581</v>
      </c>
      <c r="F78" s="9" t="s">
        <v>408</v>
      </c>
      <c r="G78" s="9" t="n">
        <v>1</v>
      </c>
      <c r="H78" s="9" t="n">
        <v>3</v>
      </c>
      <c r="I78" s="8" t="s">
        <v>123</v>
      </c>
      <c r="J78" s="8" t="n">
        <v>16</v>
      </c>
      <c r="K78" s="8" t="n">
        <v>1.5</v>
      </c>
      <c r="L78" s="8"/>
      <c r="M78" s="8"/>
      <c r="N78" s="8" t="s">
        <v>582</v>
      </c>
    </row>
    <row r="79" customFormat="false" ht="15" hidden="false" customHeight="false" outlineLevel="0" collapsed="false">
      <c r="A79" s="8" t="n">
        <v>78</v>
      </c>
      <c r="B79" s="8" t="n">
        <v>2</v>
      </c>
      <c r="C79" s="8" t="s">
        <v>572</v>
      </c>
      <c r="D79" s="8" t="s">
        <v>583</v>
      </c>
      <c r="E79" s="8" t="s">
        <v>584</v>
      </c>
      <c r="F79" s="9" t="s">
        <v>408</v>
      </c>
      <c r="G79" s="9" t="n">
        <v>1</v>
      </c>
      <c r="H79" s="9" t="n">
        <v>3</v>
      </c>
      <c r="I79" s="8" t="s">
        <v>123</v>
      </c>
      <c r="J79" s="8" t="n">
        <v>19</v>
      </c>
      <c r="K79" s="8" t="n">
        <v>1.5</v>
      </c>
      <c r="L79" s="8"/>
      <c r="M79" s="8"/>
      <c r="N79" s="8" t="s">
        <v>585</v>
      </c>
    </row>
    <row r="80" customFormat="false" ht="15" hidden="false" customHeight="false" outlineLevel="0" collapsed="false">
      <c r="A80" s="8" t="n">
        <v>79</v>
      </c>
      <c r="B80" s="8" t="n">
        <v>2</v>
      </c>
      <c r="C80" s="8" t="s">
        <v>572</v>
      </c>
      <c r="D80" s="8" t="s">
        <v>586</v>
      </c>
      <c r="E80" s="8" t="s">
        <v>587</v>
      </c>
      <c r="F80" s="9" t="s">
        <v>408</v>
      </c>
      <c r="G80" s="9" t="n">
        <v>1</v>
      </c>
      <c r="H80" s="9" t="n">
        <v>3</v>
      </c>
      <c r="I80" s="8" t="s">
        <v>123</v>
      </c>
      <c r="J80" s="8" t="n">
        <v>21</v>
      </c>
      <c r="K80" s="8" t="n">
        <v>1.5</v>
      </c>
      <c r="L80" s="8"/>
      <c r="M80" s="8"/>
      <c r="N80" s="8" t="s">
        <v>588</v>
      </c>
    </row>
    <row r="81" customFormat="false" ht="15" hidden="false" customHeight="false" outlineLevel="0" collapsed="false">
      <c r="A81" s="8" t="n">
        <v>80</v>
      </c>
      <c r="B81" s="8" t="n">
        <v>2</v>
      </c>
      <c r="C81" s="8" t="s">
        <v>589</v>
      </c>
      <c r="D81" s="8" t="s">
        <v>446</v>
      </c>
      <c r="E81" s="8" t="s">
        <v>590</v>
      </c>
      <c r="F81" s="9" t="s">
        <v>408</v>
      </c>
      <c r="G81" s="9" t="n">
        <v>1</v>
      </c>
      <c r="H81" s="9" t="n">
        <v>3</v>
      </c>
      <c r="I81" s="8" t="s">
        <v>125</v>
      </c>
      <c r="J81" s="8" t="n">
        <v>5</v>
      </c>
      <c r="K81" s="8" t="n">
        <v>1.5</v>
      </c>
      <c r="L81" s="8"/>
      <c r="M81" s="8"/>
      <c r="N81" s="8" t="s">
        <v>591</v>
      </c>
    </row>
    <row r="82" customFormat="false" ht="15" hidden="false" customHeight="false" outlineLevel="0" collapsed="false">
      <c r="A82" s="8" t="n">
        <v>81</v>
      </c>
      <c r="B82" s="8" t="n">
        <v>2</v>
      </c>
      <c r="C82" s="8" t="s">
        <v>589</v>
      </c>
      <c r="D82" s="8" t="s">
        <v>448</v>
      </c>
      <c r="E82" s="8" t="s">
        <v>592</v>
      </c>
      <c r="F82" s="9" t="s">
        <v>408</v>
      </c>
      <c r="G82" s="9" t="n">
        <v>1</v>
      </c>
      <c r="H82" s="9" t="n">
        <v>3</v>
      </c>
      <c r="I82" s="8" t="s">
        <v>125</v>
      </c>
      <c r="J82" s="8" t="n">
        <v>8</v>
      </c>
      <c r="K82" s="8" t="n">
        <v>1.5</v>
      </c>
      <c r="L82" s="8"/>
      <c r="M82" s="8"/>
      <c r="N82" s="8" t="s">
        <v>593</v>
      </c>
    </row>
    <row r="83" customFormat="false" ht="15" hidden="false" customHeight="false" outlineLevel="0" collapsed="false">
      <c r="A83" s="8" t="n">
        <v>82</v>
      </c>
      <c r="B83" s="8" t="n">
        <v>2</v>
      </c>
      <c r="C83" s="8" t="s">
        <v>589</v>
      </c>
      <c r="D83" s="8" t="s">
        <v>450</v>
      </c>
      <c r="E83" s="8" t="s">
        <v>594</v>
      </c>
      <c r="F83" s="9" t="s">
        <v>408</v>
      </c>
      <c r="G83" s="9" t="n">
        <v>1</v>
      </c>
      <c r="H83" s="9" t="n">
        <v>3</v>
      </c>
      <c r="I83" s="8" t="s">
        <v>125</v>
      </c>
      <c r="J83" s="8" t="n">
        <v>13</v>
      </c>
      <c r="K83" s="8" t="n">
        <v>1.5</v>
      </c>
      <c r="L83" s="8"/>
      <c r="M83" s="8"/>
      <c r="N83" s="8" t="s">
        <v>595</v>
      </c>
    </row>
    <row r="84" customFormat="false" ht="15" hidden="false" customHeight="false" outlineLevel="0" collapsed="false">
      <c r="A84" s="8" t="n">
        <v>83</v>
      </c>
      <c r="B84" s="8" t="n">
        <v>2</v>
      </c>
      <c r="C84" s="8" t="s">
        <v>589</v>
      </c>
      <c r="D84" s="8" t="s">
        <v>452</v>
      </c>
      <c r="E84" s="8" t="s">
        <v>596</v>
      </c>
      <c r="F84" s="9" t="s">
        <v>408</v>
      </c>
      <c r="G84" s="9" t="n">
        <v>1</v>
      </c>
      <c r="H84" s="9" t="n">
        <v>3</v>
      </c>
      <c r="I84" s="8" t="s">
        <v>125</v>
      </c>
      <c r="J84" s="8" t="n">
        <v>19</v>
      </c>
      <c r="K84" s="8" t="n">
        <v>1.5</v>
      </c>
      <c r="L84" s="8"/>
      <c r="M84" s="8"/>
      <c r="N84" s="8" t="s">
        <v>597</v>
      </c>
    </row>
    <row r="85" customFormat="false" ht="15" hidden="false" customHeight="false" outlineLevel="0" collapsed="false">
      <c r="A85" s="8" t="n">
        <v>84</v>
      </c>
      <c r="B85" s="8" t="n">
        <v>2</v>
      </c>
      <c r="C85" s="8" t="s">
        <v>589</v>
      </c>
      <c r="D85" s="8" t="s">
        <v>454</v>
      </c>
      <c r="E85" s="8" t="s">
        <v>587</v>
      </c>
      <c r="F85" s="9" t="s">
        <v>408</v>
      </c>
      <c r="G85" s="9" t="n">
        <v>1</v>
      </c>
      <c r="H85" s="9" t="n">
        <v>3</v>
      </c>
      <c r="I85" s="8" t="s">
        <v>125</v>
      </c>
      <c r="J85" s="8" t="n">
        <v>21</v>
      </c>
      <c r="K85" s="8" t="n">
        <v>1.5</v>
      </c>
      <c r="L85" s="8"/>
      <c r="M85" s="8"/>
      <c r="N85" s="8" t="s">
        <v>598</v>
      </c>
    </row>
    <row r="86" customFormat="false" ht="15" hidden="false" customHeight="false" outlineLevel="0" collapsed="false">
      <c r="A86" s="8" t="n">
        <v>85</v>
      </c>
      <c r="B86" s="8" t="n">
        <v>2</v>
      </c>
      <c r="C86" s="8" t="s">
        <v>599</v>
      </c>
      <c r="D86" s="8" t="s">
        <v>461</v>
      </c>
      <c r="E86" s="8" t="s">
        <v>600</v>
      </c>
      <c r="F86" s="9" t="s">
        <v>408</v>
      </c>
      <c r="G86" s="9" t="n">
        <v>1</v>
      </c>
      <c r="H86" s="9" t="n">
        <v>3</v>
      </c>
      <c r="I86" s="8" t="s">
        <v>127</v>
      </c>
      <c r="J86" s="8" t="n">
        <v>7</v>
      </c>
      <c r="K86" s="8" t="n">
        <v>1.5</v>
      </c>
      <c r="L86" s="8"/>
      <c r="M86" s="8"/>
      <c r="N86" s="8" t="s">
        <v>601</v>
      </c>
    </row>
    <row r="87" customFormat="false" ht="15" hidden="false" customHeight="false" outlineLevel="0" collapsed="false">
      <c r="A87" s="8" t="n">
        <v>86</v>
      </c>
      <c r="B87" s="8" t="n">
        <v>2</v>
      </c>
      <c r="C87" s="8" t="s">
        <v>599</v>
      </c>
      <c r="D87" s="8" t="s">
        <v>463</v>
      </c>
      <c r="E87" s="8" t="s">
        <v>602</v>
      </c>
      <c r="F87" s="9" t="s">
        <v>408</v>
      </c>
      <c r="G87" s="9" t="n">
        <v>1</v>
      </c>
      <c r="H87" s="9" t="n">
        <v>3</v>
      </c>
      <c r="I87" s="8" t="s">
        <v>127</v>
      </c>
      <c r="J87" s="8" t="n">
        <v>9</v>
      </c>
      <c r="K87" s="8" t="n">
        <v>1.5</v>
      </c>
      <c r="L87" s="8"/>
      <c r="M87" s="8"/>
      <c r="N87" s="8" t="s">
        <v>603</v>
      </c>
    </row>
    <row r="88" customFormat="false" ht="15" hidden="false" customHeight="false" outlineLevel="0" collapsed="false">
      <c r="A88" s="8" t="n">
        <v>87</v>
      </c>
      <c r="B88" s="8" t="n">
        <v>2</v>
      </c>
      <c r="C88" s="8" t="s">
        <v>599</v>
      </c>
      <c r="D88" s="8" t="s">
        <v>465</v>
      </c>
      <c r="E88" s="8" t="s">
        <v>604</v>
      </c>
      <c r="F88" s="9" t="s">
        <v>408</v>
      </c>
      <c r="G88" s="9" t="n">
        <v>1</v>
      </c>
      <c r="H88" s="9" t="n">
        <v>3</v>
      </c>
      <c r="I88" s="8" t="s">
        <v>127</v>
      </c>
      <c r="J88" s="8" t="n">
        <v>11</v>
      </c>
      <c r="K88" s="8" t="n">
        <v>1.5</v>
      </c>
      <c r="L88" s="8"/>
      <c r="M88" s="8"/>
      <c r="N88" s="8" t="s">
        <v>605</v>
      </c>
    </row>
    <row r="89" customFormat="false" ht="15" hidden="false" customHeight="false" outlineLevel="0" collapsed="false">
      <c r="A89" s="8" t="n">
        <v>88</v>
      </c>
      <c r="B89" s="8" t="n">
        <v>2</v>
      </c>
      <c r="C89" s="8" t="s">
        <v>599</v>
      </c>
      <c r="D89" s="8" t="s">
        <v>467</v>
      </c>
      <c r="E89" s="8" t="s">
        <v>606</v>
      </c>
      <c r="F89" s="9" t="s">
        <v>408</v>
      </c>
      <c r="G89" s="9" t="n">
        <v>1</v>
      </c>
      <c r="H89" s="9" t="n">
        <v>3</v>
      </c>
      <c r="I89" s="8" t="s">
        <v>127</v>
      </c>
      <c r="J89" s="8" t="n">
        <v>17</v>
      </c>
      <c r="K89" s="8" t="n">
        <v>1.5</v>
      </c>
      <c r="L89" s="8"/>
      <c r="M89" s="8"/>
      <c r="N89" s="8" t="s">
        <v>607</v>
      </c>
    </row>
    <row r="90" customFormat="false" ht="15" hidden="false" customHeight="false" outlineLevel="0" collapsed="false">
      <c r="A90" s="8" t="n">
        <v>89</v>
      </c>
      <c r="B90" s="8" t="n">
        <v>2</v>
      </c>
      <c r="C90" s="8" t="s">
        <v>599</v>
      </c>
      <c r="D90" s="8" t="s">
        <v>608</v>
      </c>
      <c r="E90" s="8" t="s">
        <v>609</v>
      </c>
      <c r="F90" s="9" t="s">
        <v>408</v>
      </c>
      <c r="G90" s="9" t="n">
        <v>1</v>
      </c>
      <c r="H90" s="9" t="n">
        <v>3</v>
      </c>
      <c r="I90" s="8" t="s">
        <v>127</v>
      </c>
      <c r="J90" s="8" t="n">
        <v>18</v>
      </c>
      <c r="K90" s="8" t="n">
        <v>1.5</v>
      </c>
      <c r="L90" s="8"/>
      <c r="M90" s="8"/>
      <c r="N90" s="8" t="s">
        <v>610</v>
      </c>
    </row>
    <row r="91" customFormat="false" ht="15" hidden="false" customHeight="false" outlineLevel="0" collapsed="false">
      <c r="A91" s="8" t="n">
        <v>90</v>
      </c>
      <c r="B91" s="8" t="n">
        <v>2</v>
      </c>
      <c r="C91" s="8" t="s">
        <v>599</v>
      </c>
      <c r="D91" s="8" t="s">
        <v>611</v>
      </c>
      <c r="E91" s="8" t="s">
        <v>612</v>
      </c>
      <c r="F91" s="9" t="s">
        <v>408</v>
      </c>
      <c r="G91" s="9" t="n">
        <v>1</v>
      </c>
      <c r="H91" s="9" t="n">
        <v>3</v>
      </c>
      <c r="I91" s="8" t="s">
        <v>127</v>
      </c>
      <c r="J91" s="8" t="n">
        <v>20</v>
      </c>
      <c r="K91" s="8" t="n">
        <v>1.5</v>
      </c>
      <c r="L91" s="8"/>
      <c r="M91" s="8"/>
      <c r="N91" s="8" t="s">
        <v>613</v>
      </c>
    </row>
    <row r="92" customFormat="false" ht="15" hidden="false" customHeight="false" outlineLevel="0" collapsed="false">
      <c r="A92" s="8" t="n">
        <v>91</v>
      </c>
      <c r="B92" s="8" t="n">
        <v>2</v>
      </c>
      <c r="C92" s="8" t="s">
        <v>599</v>
      </c>
      <c r="D92" s="8" t="s">
        <v>614</v>
      </c>
      <c r="E92" s="8" t="s">
        <v>615</v>
      </c>
      <c r="F92" s="9" t="s">
        <v>408</v>
      </c>
      <c r="G92" s="9" t="n">
        <v>1</v>
      </c>
      <c r="H92" s="9" t="n">
        <v>3</v>
      </c>
      <c r="I92" s="8" t="s">
        <v>127</v>
      </c>
      <c r="J92" s="8" t="n">
        <v>26</v>
      </c>
      <c r="K92" s="8" t="n">
        <v>1.5</v>
      </c>
      <c r="L92" s="8"/>
      <c r="M92" s="8"/>
      <c r="N92" s="8" t="s">
        <v>616</v>
      </c>
    </row>
    <row r="93" customFormat="false" ht="15" hidden="false" customHeight="false" outlineLevel="0" collapsed="false">
      <c r="A93" s="8" t="n">
        <v>92</v>
      </c>
      <c r="B93" s="8" t="n">
        <v>2</v>
      </c>
      <c r="C93" s="8" t="s">
        <v>599</v>
      </c>
      <c r="D93" s="8" t="s">
        <v>617</v>
      </c>
      <c r="E93" s="8" t="s">
        <v>587</v>
      </c>
      <c r="F93" s="9" t="s">
        <v>408</v>
      </c>
      <c r="G93" s="9" t="n">
        <v>1</v>
      </c>
      <c r="H93" s="9" t="n">
        <v>3</v>
      </c>
      <c r="I93" s="8" t="s">
        <v>127</v>
      </c>
      <c r="J93" s="8" t="n">
        <v>28</v>
      </c>
      <c r="K93" s="8" t="n">
        <v>1.5</v>
      </c>
      <c r="L93" s="8"/>
      <c r="M93" s="8"/>
      <c r="N93" s="8" t="s">
        <v>618</v>
      </c>
    </row>
    <row r="94" customFormat="false" ht="15" hidden="false" customHeight="false" outlineLevel="0" collapsed="false">
      <c r="A94" s="8" t="n">
        <v>93</v>
      </c>
      <c r="B94" s="8" t="n">
        <v>2</v>
      </c>
      <c r="C94" s="8" t="s">
        <v>619</v>
      </c>
      <c r="D94" s="8" t="s">
        <v>470</v>
      </c>
      <c r="E94" s="8" t="s">
        <v>620</v>
      </c>
      <c r="F94" s="9" t="s">
        <v>408</v>
      </c>
      <c r="G94" s="9" t="n">
        <v>1</v>
      </c>
      <c r="H94" s="9" t="n">
        <v>3</v>
      </c>
      <c r="I94" s="8" t="s">
        <v>129</v>
      </c>
      <c r="J94" s="8" t="n">
        <v>6</v>
      </c>
      <c r="K94" s="8" t="n">
        <v>1.5</v>
      </c>
      <c r="L94" s="8"/>
      <c r="M94" s="8"/>
      <c r="N94" s="8" t="s">
        <v>621</v>
      </c>
    </row>
    <row r="95" customFormat="false" ht="15" hidden="false" customHeight="false" outlineLevel="0" collapsed="false">
      <c r="A95" s="8" t="n">
        <v>94</v>
      </c>
      <c r="B95" s="8" t="n">
        <v>2</v>
      </c>
      <c r="C95" s="8" t="s">
        <v>619</v>
      </c>
      <c r="D95" s="8" t="s">
        <v>472</v>
      </c>
      <c r="E95" s="8" t="s">
        <v>587</v>
      </c>
      <c r="F95" s="9" t="s">
        <v>408</v>
      </c>
      <c r="G95" s="9" t="n">
        <v>1</v>
      </c>
      <c r="H95" s="9" t="n">
        <v>3</v>
      </c>
      <c r="I95" s="8" t="s">
        <v>129</v>
      </c>
      <c r="J95" s="8" t="n">
        <v>10</v>
      </c>
      <c r="K95" s="8" t="n">
        <v>1.5</v>
      </c>
      <c r="L95" s="8"/>
      <c r="M95" s="8"/>
      <c r="N95" s="8" t="s">
        <v>622</v>
      </c>
    </row>
    <row r="96" customFormat="false" ht="15" hidden="false" customHeight="false" outlineLevel="0" collapsed="false">
      <c r="A96" s="8" t="n">
        <v>95</v>
      </c>
      <c r="B96" s="8" t="n">
        <v>2</v>
      </c>
      <c r="C96" s="8" t="s">
        <v>623</v>
      </c>
      <c r="D96" s="8" t="s">
        <v>493</v>
      </c>
      <c r="E96" s="8" t="s">
        <v>624</v>
      </c>
      <c r="F96" s="9" t="s">
        <v>408</v>
      </c>
      <c r="G96" s="9" t="n">
        <v>1</v>
      </c>
      <c r="H96" s="9" t="n">
        <v>3</v>
      </c>
      <c r="I96" s="8" t="s">
        <v>131</v>
      </c>
      <c r="J96" s="8" t="n">
        <v>7</v>
      </c>
      <c r="K96" s="8" t="n">
        <v>1.5</v>
      </c>
      <c r="L96" s="8"/>
      <c r="M96" s="8"/>
      <c r="N96" s="8" t="s">
        <v>625</v>
      </c>
    </row>
    <row r="97" customFormat="false" ht="15" hidden="false" customHeight="false" outlineLevel="0" collapsed="false">
      <c r="A97" s="8" t="n">
        <v>96</v>
      </c>
      <c r="B97" s="8" t="n">
        <v>2</v>
      </c>
      <c r="C97" s="8" t="s">
        <v>623</v>
      </c>
      <c r="D97" s="8" t="s">
        <v>626</v>
      </c>
      <c r="E97" s="8" t="s">
        <v>627</v>
      </c>
      <c r="F97" s="9" t="s">
        <v>408</v>
      </c>
      <c r="G97" s="9" t="n">
        <v>1</v>
      </c>
      <c r="H97" s="9" t="n">
        <v>3</v>
      </c>
      <c r="I97" s="8" t="s">
        <v>131</v>
      </c>
      <c r="J97" s="8" t="n">
        <v>11</v>
      </c>
      <c r="K97" s="8" t="n">
        <v>1.5</v>
      </c>
      <c r="L97" s="8"/>
      <c r="M97" s="8"/>
      <c r="N97" s="8" t="s">
        <v>628</v>
      </c>
    </row>
    <row r="98" customFormat="false" ht="15" hidden="false" customHeight="false" outlineLevel="0" collapsed="false">
      <c r="A98" s="8" t="n">
        <v>97</v>
      </c>
      <c r="B98" s="8" t="n">
        <v>2</v>
      </c>
      <c r="C98" s="8" t="s">
        <v>623</v>
      </c>
      <c r="D98" s="8" t="s">
        <v>629</v>
      </c>
      <c r="E98" s="8" t="s">
        <v>630</v>
      </c>
      <c r="F98" s="9" t="s">
        <v>408</v>
      </c>
      <c r="G98" s="9" t="n">
        <v>1</v>
      </c>
      <c r="H98" s="9" t="n">
        <v>3</v>
      </c>
      <c r="I98" s="8" t="s">
        <v>131</v>
      </c>
      <c r="J98" s="8" t="n">
        <v>15</v>
      </c>
      <c r="K98" s="8" t="n">
        <v>1.5</v>
      </c>
      <c r="L98" s="8"/>
      <c r="M98" s="8"/>
      <c r="N98" s="8" t="s">
        <v>631</v>
      </c>
    </row>
    <row r="99" customFormat="false" ht="15" hidden="false" customHeight="false" outlineLevel="0" collapsed="false">
      <c r="A99" s="8" t="n">
        <v>98</v>
      </c>
      <c r="B99" s="8" t="n">
        <v>2</v>
      </c>
      <c r="C99" s="8" t="s">
        <v>623</v>
      </c>
      <c r="D99" s="8" t="s">
        <v>632</v>
      </c>
      <c r="E99" s="8" t="s">
        <v>633</v>
      </c>
      <c r="F99" s="9" t="s">
        <v>408</v>
      </c>
      <c r="G99" s="9" t="n">
        <v>1</v>
      </c>
      <c r="H99" s="9" t="n">
        <v>3</v>
      </c>
      <c r="I99" s="8" t="s">
        <v>131</v>
      </c>
      <c r="J99" s="8" t="n">
        <v>19</v>
      </c>
      <c r="K99" s="8" t="n">
        <v>1.5</v>
      </c>
      <c r="L99" s="8"/>
      <c r="M99" s="8"/>
      <c r="N99" s="8" t="s">
        <v>634</v>
      </c>
    </row>
    <row r="100" customFormat="false" ht="15" hidden="false" customHeight="false" outlineLevel="0" collapsed="false">
      <c r="A100" s="8" t="n">
        <v>99</v>
      </c>
      <c r="B100" s="8" t="n">
        <v>2</v>
      </c>
      <c r="C100" s="8" t="s">
        <v>623</v>
      </c>
      <c r="D100" s="8" t="s">
        <v>635</v>
      </c>
      <c r="E100" s="8" t="s">
        <v>636</v>
      </c>
      <c r="F100" s="9" t="s">
        <v>408</v>
      </c>
      <c r="G100" s="9" t="n">
        <v>1</v>
      </c>
      <c r="H100" s="9" t="n">
        <v>3</v>
      </c>
      <c r="I100" s="8" t="s">
        <v>131</v>
      </c>
      <c r="J100" s="8" t="n">
        <v>23</v>
      </c>
      <c r="K100" s="8" t="n">
        <v>1.5</v>
      </c>
      <c r="L100" s="8"/>
      <c r="M100" s="8"/>
      <c r="N100" s="8" t="s">
        <v>637</v>
      </c>
    </row>
    <row r="101" customFormat="false" ht="15" hidden="false" customHeight="false" outlineLevel="0" collapsed="false">
      <c r="A101" s="8" t="n">
        <v>100</v>
      </c>
      <c r="B101" s="8" t="n">
        <v>2</v>
      </c>
      <c r="C101" s="8" t="s">
        <v>623</v>
      </c>
      <c r="D101" s="8" t="s">
        <v>638</v>
      </c>
      <c r="E101" s="8" t="s">
        <v>639</v>
      </c>
      <c r="F101" s="9" t="s">
        <v>408</v>
      </c>
      <c r="G101" s="9" t="n">
        <v>1</v>
      </c>
      <c r="H101" s="9" t="n">
        <v>3</v>
      </c>
      <c r="I101" s="8" t="s">
        <v>131</v>
      </c>
      <c r="J101" s="8" t="n">
        <v>28</v>
      </c>
      <c r="K101" s="8" t="n">
        <v>1.5</v>
      </c>
      <c r="L101" s="8"/>
      <c r="M101" s="8"/>
      <c r="N101" s="8" t="s">
        <v>640</v>
      </c>
    </row>
    <row r="102" customFormat="false" ht="15" hidden="false" customHeight="false" outlineLevel="0" collapsed="false">
      <c r="A102" s="8" t="n">
        <v>101</v>
      </c>
      <c r="B102" s="8" t="n">
        <v>2</v>
      </c>
      <c r="C102" s="8" t="s">
        <v>623</v>
      </c>
      <c r="D102" s="8" t="s">
        <v>641</v>
      </c>
      <c r="E102" s="8" t="s">
        <v>642</v>
      </c>
      <c r="F102" s="9" t="s">
        <v>408</v>
      </c>
      <c r="G102" s="9" t="n">
        <v>1</v>
      </c>
      <c r="H102" s="9" t="n">
        <v>3</v>
      </c>
      <c r="I102" s="8" t="s">
        <v>131</v>
      </c>
      <c r="J102" s="8" t="n">
        <v>32</v>
      </c>
      <c r="K102" s="8" t="n">
        <v>1.5</v>
      </c>
      <c r="L102" s="8"/>
      <c r="M102" s="8"/>
      <c r="N102" s="8" t="s">
        <v>643</v>
      </c>
    </row>
    <row r="103" customFormat="false" ht="15" hidden="false" customHeight="false" outlineLevel="0" collapsed="false">
      <c r="A103" s="8" t="n">
        <v>102</v>
      </c>
      <c r="B103" s="8" t="n">
        <v>2</v>
      </c>
      <c r="C103" s="8" t="s">
        <v>623</v>
      </c>
      <c r="D103" s="8" t="s">
        <v>497</v>
      </c>
      <c r="E103" s="8" t="s">
        <v>587</v>
      </c>
      <c r="F103" s="9" t="s">
        <v>408</v>
      </c>
      <c r="G103" s="9" t="n">
        <v>1</v>
      </c>
      <c r="H103" s="9" t="n">
        <v>3</v>
      </c>
      <c r="I103" s="8" t="s">
        <v>131</v>
      </c>
      <c r="J103" s="8" t="n">
        <v>33</v>
      </c>
      <c r="K103" s="8" t="n">
        <v>1.5</v>
      </c>
      <c r="L103" s="8"/>
      <c r="M103" s="8"/>
      <c r="N103" s="8" t="s">
        <v>644</v>
      </c>
    </row>
    <row r="104" customFormat="false" ht="15" hidden="false" customHeight="false" outlineLevel="0" collapsed="false">
      <c r="A104" s="8" t="n">
        <v>103</v>
      </c>
      <c r="B104" s="8" t="n">
        <v>2</v>
      </c>
      <c r="C104" s="8" t="s">
        <v>623</v>
      </c>
      <c r="D104" s="8" t="s">
        <v>499</v>
      </c>
      <c r="E104" s="8" t="s">
        <v>645</v>
      </c>
      <c r="F104" s="9" t="s">
        <v>408</v>
      </c>
      <c r="G104" s="9" t="n">
        <v>1</v>
      </c>
      <c r="H104" s="9" t="n">
        <v>3</v>
      </c>
      <c r="I104" s="8" t="s">
        <v>131</v>
      </c>
      <c r="J104" s="8" t="n">
        <v>53</v>
      </c>
      <c r="K104" s="8" t="n">
        <v>1.5</v>
      </c>
      <c r="L104" s="8"/>
      <c r="M104" s="8"/>
      <c r="N104" s="8" t="s">
        <v>646</v>
      </c>
    </row>
    <row r="105" customFormat="false" ht="15" hidden="false" customHeight="false" outlineLevel="0" collapsed="false">
      <c r="A105" s="8" t="n">
        <v>104</v>
      </c>
      <c r="B105" s="8" t="n">
        <v>2</v>
      </c>
      <c r="C105" s="8" t="s">
        <v>647</v>
      </c>
      <c r="D105" s="8" t="s">
        <v>504</v>
      </c>
      <c r="E105" s="8" t="s">
        <v>648</v>
      </c>
      <c r="F105" s="9" t="s">
        <v>408</v>
      </c>
      <c r="G105" s="9" t="n">
        <v>1</v>
      </c>
      <c r="H105" s="9" t="n">
        <v>3</v>
      </c>
      <c r="I105" s="8" t="s">
        <v>133</v>
      </c>
      <c r="J105" s="8" t="n">
        <v>9</v>
      </c>
      <c r="K105" s="8" t="n">
        <v>1.5</v>
      </c>
      <c r="L105" s="8"/>
      <c r="M105" s="8"/>
      <c r="N105" s="8" t="s">
        <v>649</v>
      </c>
    </row>
    <row r="106" customFormat="false" ht="15" hidden="false" customHeight="false" outlineLevel="0" collapsed="false">
      <c r="A106" s="8" t="n">
        <v>105</v>
      </c>
      <c r="B106" s="8" t="n">
        <v>2</v>
      </c>
      <c r="C106" s="8" t="s">
        <v>647</v>
      </c>
      <c r="D106" s="8" t="s">
        <v>650</v>
      </c>
      <c r="E106" s="8" t="s">
        <v>651</v>
      </c>
      <c r="F106" s="9" t="s">
        <v>408</v>
      </c>
      <c r="G106" s="9" t="n">
        <v>1</v>
      </c>
      <c r="H106" s="9" t="n">
        <v>3</v>
      </c>
      <c r="I106" s="8" t="s">
        <v>133</v>
      </c>
      <c r="J106" s="8" t="n">
        <v>12</v>
      </c>
      <c r="K106" s="8" t="n">
        <v>1.5</v>
      </c>
      <c r="L106" s="8"/>
      <c r="M106" s="8"/>
      <c r="N106" s="8" t="s">
        <v>652</v>
      </c>
    </row>
    <row r="107" customFormat="false" ht="15" hidden="false" customHeight="false" outlineLevel="0" collapsed="false">
      <c r="A107" s="8" t="n">
        <v>106</v>
      </c>
      <c r="B107" s="8" t="n">
        <v>2</v>
      </c>
      <c r="C107" s="8" t="s">
        <v>647</v>
      </c>
      <c r="D107" s="8" t="s">
        <v>653</v>
      </c>
      <c r="E107" s="8" t="s">
        <v>654</v>
      </c>
      <c r="F107" s="9" t="s">
        <v>408</v>
      </c>
      <c r="G107" s="9" t="n">
        <v>1</v>
      </c>
      <c r="H107" s="9" t="n">
        <v>3</v>
      </c>
      <c r="I107" s="8" t="s">
        <v>133</v>
      </c>
      <c r="J107" s="8" t="n">
        <v>17</v>
      </c>
      <c r="K107" s="8" t="n">
        <v>1.5</v>
      </c>
      <c r="L107" s="8"/>
      <c r="M107" s="8"/>
      <c r="N107" s="8" t="s">
        <v>655</v>
      </c>
    </row>
    <row r="108" customFormat="false" ht="15" hidden="false" customHeight="false" outlineLevel="0" collapsed="false">
      <c r="A108" s="8" t="n">
        <v>107</v>
      </c>
      <c r="B108" s="8" t="n">
        <v>2</v>
      </c>
      <c r="C108" s="8" t="s">
        <v>647</v>
      </c>
      <c r="D108" s="8" t="s">
        <v>656</v>
      </c>
      <c r="E108" s="8" t="s">
        <v>657</v>
      </c>
      <c r="F108" s="9" t="s">
        <v>408</v>
      </c>
      <c r="G108" s="9" t="n">
        <v>1</v>
      </c>
      <c r="H108" s="9" t="n">
        <v>3</v>
      </c>
      <c r="I108" s="8" t="s">
        <v>133</v>
      </c>
      <c r="J108" s="8" t="n">
        <v>22</v>
      </c>
      <c r="K108" s="8" t="n">
        <v>1.5</v>
      </c>
      <c r="L108" s="8"/>
      <c r="M108" s="8"/>
      <c r="N108" s="8" t="s">
        <v>658</v>
      </c>
    </row>
    <row r="109" customFormat="false" ht="15" hidden="false" customHeight="false" outlineLevel="0" collapsed="false">
      <c r="A109" s="8" t="n">
        <v>108</v>
      </c>
      <c r="B109" s="8" t="n">
        <v>2</v>
      </c>
      <c r="C109" s="8" t="s">
        <v>647</v>
      </c>
      <c r="D109" s="8" t="s">
        <v>508</v>
      </c>
      <c r="E109" s="8" t="s">
        <v>659</v>
      </c>
      <c r="F109" s="9" t="s">
        <v>408</v>
      </c>
      <c r="G109" s="9" t="n">
        <v>1</v>
      </c>
      <c r="H109" s="9" t="n">
        <v>3</v>
      </c>
      <c r="I109" s="8" t="s">
        <v>133</v>
      </c>
      <c r="J109" s="8" t="n">
        <v>28</v>
      </c>
      <c r="K109" s="8" t="n">
        <v>1.5</v>
      </c>
      <c r="L109" s="8"/>
      <c r="M109" s="8"/>
      <c r="N109" s="8" t="s">
        <v>660</v>
      </c>
    </row>
    <row r="110" customFormat="false" ht="15" hidden="false" customHeight="false" outlineLevel="0" collapsed="false">
      <c r="A110" s="8" t="n">
        <v>109</v>
      </c>
      <c r="B110" s="8" t="n">
        <v>2</v>
      </c>
      <c r="C110" s="8" t="s">
        <v>647</v>
      </c>
      <c r="D110" s="8" t="s">
        <v>510</v>
      </c>
      <c r="E110" s="8" t="s">
        <v>587</v>
      </c>
      <c r="F110" s="9" t="s">
        <v>408</v>
      </c>
      <c r="G110" s="9" t="n">
        <v>1</v>
      </c>
      <c r="H110" s="9" t="n">
        <v>3</v>
      </c>
      <c r="I110" s="8" t="s">
        <v>133</v>
      </c>
      <c r="J110" s="8" t="n">
        <v>29</v>
      </c>
      <c r="K110" s="8" t="n">
        <v>1.5</v>
      </c>
      <c r="L110" s="8"/>
      <c r="M110" s="8"/>
      <c r="N110" s="8" t="s">
        <v>661</v>
      </c>
    </row>
    <row r="111" customFormat="false" ht="15" hidden="false" customHeight="false" outlineLevel="0" collapsed="false">
      <c r="A111" s="8" t="n">
        <v>110</v>
      </c>
      <c r="B111" s="8" t="n">
        <v>3</v>
      </c>
      <c r="C111" s="8" t="s">
        <v>662</v>
      </c>
      <c r="D111" s="8" t="s">
        <v>411</v>
      </c>
      <c r="E111" s="8" t="s">
        <v>663</v>
      </c>
      <c r="F111" s="9" t="s">
        <v>408</v>
      </c>
      <c r="G111" s="9" t="n">
        <v>1</v>
      </c>
      <c r="H111" s="9" t="n">
        <v>3</v>
      </c>
      <c r="I111" s="8" t="s">
        <v>209</v>
      </c>
      <c r="J111" s="8" t="n">
        <v>4</v>
      </c>
      <c r="K111" s="8" t="n">
        <v>1.5</v>
      </c>
      <c r="L111" s="8"/>
      <c r="M111" s="8"/>
      <c r="N111" s="8" t="s">
        <v>664</v>
      </c>
    </row>
    <row r="112" customFormat="false" ht="15" hidden="false" customHeight="false" outlineLevel="0" collapsed="false">
      <c r="A112" s="8" t="n">
        <v>111</v>
      </c>
      <c r="B112" s="8" t="n">
        <v>3</v>
      </c>
      <c r="C112" s="8" t="s">
        <v>662</v>
      </c>
      <c r="D112" s="8" t="s">
        <v>413</v>
      </c>
      <c r="E112" s="8" t="s">
        <v>665</v>
      </c>
      <c r="F112" s="9" t="s">
        <v>408</v>
      </c>
      <c r="G112" s="9" t="n">
        <v>1</v>
      </c>
      <c r="H112" s="9" t="n">
        <v>3</v>
      </c>
      <c r="I112" s="8" t="s">
        <v>209</v>
      </c>
      <c r="J112" s="8" t="n">
        <v>5</v>
      </c>
      <c r="K112" s="8" t="n">
        <v>1.5</v>
      </c>
      <c r="L112" s="8"/>
      <c r="M112" s="8"/>
      <c r="N112" s="8" t="s">
        <v>666</v>
      </c>
    </row>
    <row r="113" customFormat="false" ht="15" hidden="false" customHeight="false" outlineLevel="0" collapsed="false">
      <c r="A113" s="8" t="n">
        <v>112</v>
      </c>
      <c r="B113" s="8" t="n">
        <v>3</v>
      </c>
      <c r="C113" s="8" t="s">
        <v>662</v>
      </c>
      <c r="D113" s="8" t="s">
        <v>667</v>
      </c>
      <c r="E113" s="8" t="s">
        <v>668</v>
      </c>
      <c r="F113" s="9" t="s">
        <v>408</v>
      </c>
      <c r="G113" s="9" t="n">
        <v>1</v>
      </c>
      <c r="H113" s="9" t="n">
        <v>3</v>
      </c>
      <c r="I113" s="8" t="s">
        <v>209</v>
      </c>
      <c r="J113" s="8" t="n">
        <v>11</v>
      </c>
      <c r="K113" s="8" t="n">
        <v>1.5</v>
      </c>
      <c r="L113" s="8"/>
      <c r="M113" s="8"/>
      <c r="N113" s="8" t="s">
        <v>669</v>
      </c>
    </row>
    <row r="114" customFormat="false" ht="15" hidden="false" customHeight="false" outlineLevel="0" collapsed="false">
      <c r="A114" s="8" t="n">
        <v>113</v>
      </c>
      <c r="B114" s="8" t="n">
        <v>3</v>
      </c>
      <c r="C114" s="8" t="s">
        <v>662</v>
      </c>
      <c r="D114" s="8" t="s">
        <v>415</v>
      </c>
      <c r="E114" s="8" t="s">
        <v>670</v>
      </c>
      <c r="F114" s="9" t="s">
        <v>408</v>
      </c>
      <c r="G114" s="9" t="n">
        <v>1</v>
      </c>
      <c r="H114" s="9" t="n">
        <v>3</v>
      </c>
      <c r="I114" s="8" t="s">
        <v>209</v>
      </c>
      <c r="J114" s="8" t="n">
        <v>13</v>
      </c>
      <c r="K114" s="8" t="n">
        <v>1.5</v>
      </c>
      <c r="L114" s="8"/>
      <c r="M114" s="8"/>
      <c r="N114" s="8" t="s">
        <v>671</v>
      </c>
    </row>
    <row r="115" customFormat="false" ht="15" hidden="false" customHeight="false" outlineLevel="0" collapsed="false">
      <c r="A115" s="8" t="n">
        <v>114</v>
      </c>
      <c r="B115" s="8" t="n">
        <v>3</v>
      </c>
      <c r="C115" s="8" t="s">
        <v>662</v>
      </c>
      <c r="D115" s="8" t="s">
        <v>417</v>
      </c>
      <c r="E115" s="8" t="s">
        <v>672</v>
      </c>
      <c r="F115" s="9" t="s">
        <v>408</v>
      </c>
      <c r="G115" s="9" t="n">
        <v>1</v>
      </c>
      <c r="H115" s="9" t="n">
        <v>3</v>
      </c>
      <c r="I115" s="8" t="s">
        <v>209</v>
      </c>
      <c r="J115" s="8" t="n">
        <v>15</v>
      </c>
      <c r="K115" s="8" t="n">
        <v>1.5</v>
      </c>
      <c r="L115" s="8"/>
      <c r="M115" s="8"/>
      <c r="N115" s="8" t="s">
        <v>673</v>
      </c>
    </row>
    <row r="116" customFormat="false" ht="15" hidden="false" customHeight="false" outlineLevel="0" collapsed="false">
      <c r="A116" s="8" t="n">
        <v>115</v>
      </c>
      <c r="B116" s="8" t="n">
        <v>3</v>
      </c>
      <c r="C116" s="8" t="s">
        <v>662</v>
      </c>
      <c r="D116" s="8" t="s">
        <v>674</v>
      </c>
      <c r="E116" s="8" t="s">
        <v>675</v>
      </c>
      <c r="F116" s="9" t="s">
        <v>408</v>
      </c>
      <c r="G116" s="9" t="n">
        <v>1</v>
      </c>
      <c r="H116" s="9" t="n">
        <v>3</v>
      </c>
      <c r="I116" s="8" t="s">
        <v>209</v>
      </c>
      <c r="J116" s="8" t="n">
        <v>17</v>
      </c>
      <c r="K116" s="8" t="n">
        <v>1.5</v>
      </c>
      <c r="L116" s="8"/>
      <c r="M116" s="8"/>
      <c r="N116" s="8" t="s">
        <v>676</v>
      </c>
    </row>
    <row r="117" customFormat="false" ht="15" hidden="false" customHeight="false" outlineLevel="0" collapsed="false">
      <c r="A117" s="8" t="n">
        <v>116</v>
      </c>
      <c r="B117" s="8" t="n">
        <v>3</v>
      </c>
      <c r="C117" s="8" t="s">
        <v>662</v>
      </c>
      <c r="D117" s="8" t="s">
        <v>677</v>
      </c>
      <c r="E117" s="8" t="s">
        <v>678</v>
      </c>
      <c r="F117" s="9" t="s">
        <v>408</v>
      </c>
      <c r="G117" s="9" t="n">
        <v>1</v>
      </c>
      <c r="H117" s="9" t="n">
        <v>3</v>
      </c>
      <c r="I117" s="8" t="s">
        <v>209</v>
      </c>
      <c r="J117" s="8" t="n">
        <v>19</v>
      </c>
      <c r="K117" s="8" t="n">
        <v>1.5</v>
      </c>
      <c r="L117" s="8"/>
      <c r="M117" s="8"/>
      <c r="N117" s="8" t="s">
        <v>679</v>
      </c>
    </row>
    <row r="118" customFormat="false" ht="15" hidden="false" customHeight="false" outlineLevel="0" collapsed="false">
      <c r="A118" s="8" t="n">
        <v>117</v>
      </c>
      <c r="B118" s="8" t="n">
        <v>3</v>
      </c>
      <c r="C118" s="8" t="s">
        <v>662</v>
      </c>
      <c r="D118" s="8" t="s">
        <v>680</v>
      </c>
      <c r="E118" s="8" t="s">
        <v>681</v>
      </c>
      <c r="F118" s="9" t="s">
        <v>408</v>
      </c>
      <c r="G118" s="9" t="n">
        <v>1</v>
      </c>
      <c r="H118" s="9" t="n">
        <v>3</v>
      </c>
      <c r="I118" s="8" t="s">
        <v>209</v>
      </c>
      <c r="J118" s="8" t="n">
        <v>23</v>
      </c>
      <c r="K118" s="8" t="n">
        <v>1.5</v>
      </c>
      <c r="L118" s="8"/>
      <c r="M118" s="8"/>
      <c r="N118" s="8" t="s">
        <v>682</v>
      </c>
    </row>
    <row r="119" customFormat="false" ht="15" hidden="false" customHeight="false" outlineLevel="0" collapsed="false">
      <c r="A119" s="8" t="n">
        <v>118</v>
      </c>
      <c r="B119" s="8" t="n">
        <v>3</v>
      </c>
      <c r="C119" s="8" t="s">
        <v>662</v>
      </c>
      <c r="D119" s="8" t="s">
        <v>683</v>
      </c>
      <c r="E119" s="8" t="s">
        <v>684</v>
      </c>
      <c r="F119" s="9" t="s">
        <v>408</v>
      </c>
      <c r="G119" s="9" t="n">
        <v>1</v>
      </c>
      <c r="H119" s="9" t="n">
        <v>3</v>
      </c>
      <c r="I119" s="8" t="s">
        <v>209</v>
      </c>
      <c r="J119" s="8" t="n">
        <v>25</v>
      </c>
      <c r="K119" s="8" t="n">
        <v>1.5</v>
      </c>
      <c r="L119" s="8"/>
      <c r="M119" s="8"/>
      <c r="N119" s="8" t="s">
        <v>685</v>
      </c>
    </row>
    <row r="120" customFormat="false" ht="15" hidden="false" customHeight="false" outlineLevel="0" collapsed="false">
      <c r="A120" s="8" t="n">
        <v>119</v>
      </c>
      <c r="B120" s="8" t="n">
        <v>3</v>
      </c>
      <c r="C120" s="8" t="s">
        <v>662</v>
      </c>
      <c r="D120" s="8" t="s">
        <v>686</v>
      </c>
      <c r="E120" s="8" t="s">
        <v>687</v>
      </c>
      <c r="F120" s="9" t="s">
        <v>408</v>
      </c>
      <c r="G120" s="9" t="n">
        <v>1</v>
      </c>
      <c r="H120" s="9" t="n">
        <v>3</v>
      </c>
      <c r="I120" s="8" t="s">
        <v>209</v>
      </c>
      <c r="J120" s="8" t="n">
        <v>29</v>
      </c>
      <c r="K120" s="8" t="n">
        <v>1.5</v>
      </c>
      <c r="L120" s="8"/>
      <c r="M120" s="8"/>
      <c r="N120" s="8" t="s">
        <v>688</v>
      </c>
    </row>
    <row r="121" customFormat="false" ht="15" hidden="false" customHeight="false" outlineLevel="0" collapsed="false">
      <c r="A121" s="8" t="n">
        <v>120</v>
      </c>
      <c r="B121" s="8" t="n">
        <v>3</v>
      </c>
      <c r="C121" s="8" t="s">
        <v>689</v>
      </c>
      <c r="D121" s="8" t="s">
        <v>424</v>
      </c>
      <c r="E121" s="8" t="s">
        <v>690</v>
      </c>
      <c r="F121" s="9" t="s">
        <v>408</v>
      </c>
      <c r="G121" s="9" t="n">
        <v>1</v>
      </c>
      <c r="H121" s="9" t="n">
        <v>3</v>
      </c>
      <c r="I121" s="8" t="s">
        <v>210</v>
      </c>
      <c r="J121" s="8" t="n">
        <v>9</v>
      </c>
      <c r="K121" s="8" t="n">
        <v>1.5</v>
      </c>
      <c r="L121" s="8"/>
      <c r="M121" s="8"/>
      <c r="N121" s="8" t="s">
        <v>550</v>
      </c>
    </row>
    <row r="122" customFormat="false" ht="15" hidden="false" customHeight="false" outlineLevel="0" collapsed="false">
      <c r="A122" s="8" t="n">
        <v>121</v>
      </c>
      <c r="B122" s="8" t="n">
        <v>3</v>
      </c>
      <c r="C122" s="8" t="s">
        <v>689</v>
      </c>
      <c r="D122" s="8" t="s">
        <v>426</v>
      </c>
      <c r="E122" s="8" t="s">
        <v>691</v>
      </c>
      <c r="F122" s="9" t="s">
        <v>408</v>
      </c>
      <c r="G122" s="9" t="n">
        <v>1</v>
      </c>
      <c r="H122" s="9" t="n">
        <v>3</v>
      </c>
      <c r="I122" s="8" t="s">
        <v>210</v>
      </c>
      <c r="J122" s="8" t="n">
        <v>10</v>
      </c>
      <c r="K122" s="8" t="n">
        <v>1.5</v>
      </c>
      <c r="L122" s="8"/>
      <c r="M122" s="8"/>
      <c r="N122" s="8" t="s">
        <v>692</v>
      </c>
    </row>
    <row r="123" customFormat="false" ht="15" hidden="false" customHeight="false" outlineLevel="0" collapsed="false">
      <c r="A123" s="8" t="n">
        <v>122</v>
      </c>
      <c r="B123" s="8" t="n">
        <v>3</v>
      </c>
      <c r="C123" s="8" t="s">
        <v>689</v>
      </c>
      <c r="D123" s="8" t="s">
        <v>693</v>
      </c>
      <c r="E123" s="8" t="s">
        <v>694</v>
      </c>
      <c r="F123" s="9" t="s">
        <v>408</v>
      </c>
      <c r="G123" s="9" t="n">
        <v>1</v>
      </c>
      <c r="H123" s="9" t="n">
        <v>3</v>
      </c>
      <c r="I123" s="8" t="s">
        <v>210</v>
      </c>
      <c r="J123" s="8" t="n">
        <v>17</v>
      </c>
      <c r="K123" s="8" t="n">
        <v>1.5</v>
      </c>
      <c r="L123" s="8"/>
      <c r="M123" s="8"/>
      <c r="N123" s="8" t="s">
        <v>695</v>
      </c>
    </row>
    <row r="124" customFormat="false" ht="15" hidden="false" customHeight="false" outlineLevel="0" collapsed="false">
      <c r="A124" s="8" t="n">
        <v>123</v>
      </c>
      <c r="B124" s="8" t="n">
        <v>3</v>
      </c>
      <c r="C124" s="8" t="s">
        <v>689</v>
      </c>
      <c r="D124" s="8" t="s">
        <v>428</v>
      </c>
      <c r="E124" s="8" t="s">
        <v>696</v>
      </c>
      <c r="F124" s="9" t="s">
        <v>408</v>
      </c>
      <c r="G124" s="9" t="n">
        <v>1</v>
      </c>
      <c r="H124" s="9" t="n">
        <v>3</v>
      </c>
      <c r="I124" s="8" t="s">
        <v>210</v>
      </c>
      <c r="J124" s="8" t="n">
        <v>20</v>
      </c>
      <c r="K124" s="8" t="n">
        <v>1.5</v>
      </c>
      <c r="L124" s="8"/>
      <c r="M124" s="8"/>
      <c r="N124" s="8" t="s">
        <v>697</v>
      </c>
    </row>
    <row r="125" customFormat="false" ht="15" hidden="false" customHeight="false" outlineLevel="0" collapsed="false">
      <c r="A125" s="8" t="n">
        <v>124</v>
      </c>
      <c r="B125" s="8" t="n">
        <v>3</v>
      </c>
      <c r="C125" s="8" t="s">
        <v>689</v>
      </c>
      <c r="D125" s="8" t="s">
        <v>698</v>
      </c>
      <c r="E125" s="8" t="s">
        <v>699</v>
      </c>
      <c r="F125" s="9" t="s">
        <v>408</v>
      </c>
      <c r="G125" s="9" t="n">
        <v>1</v>
      </c>
      <c r="H125" s="9" t="n">
        <v>3</v>
      </c>
      <c r="I125" s="8" t="s">
        <v>210</v>
      </c>
      <c r="J125" s="8" t="n">
        <v>27</v>
      </c>
      <c r="K125" s="8" t="n">
        <v>1.5</v>
      </c>
      <c r="L125" s="8"/>
      <c r="M125" s="8"/>
      <c r="N125" s="8" t="s">
        <v>700</v>
      </c>
    </row>
    <row r="126" customFormat="false" ht="15" hidden="false" customHeight="false" outlineLevel="0" collapsed="false">
      <c r="A126" s="8" t="n">
        <v>125</v>
      </c>
      <c r="B126" s="8" t="n">
        <v>3</v>
      </c>
      <c r="C126" s="8" t="s">
        <v>689</v>
      </c>
      <c r="D126" s="8" t="s">
        <v>430</v>
      </c>
      <c r="E126" s="8" t="s">
        <v>701</v>
      </c>
      <c r="F126" s="9" t="s">
        <v>408</v>
      </c>
      <c r="G126" s="9" t="n">
        <v>1</v>
      </c>
      <c r="H126" s="9" t="n">
        <v>3</v>
      </c>
      <c r="I126" s="8" t="s">
        <v>210</v>
      </c>
      <c r="J126" s="8" t="n">
        <v>30</v>
      </c>
      <c r="K126" s="8" t="n">
        <v>1.5</v>
      </c>
      <c r="L126" s="8"/>
      <c r="M126" s="8"/>
      <c r="N126" s="8" t="s">
        <v>702</v>
      </c>
    </row>
    <row r="127" customFormat="false" ht="15" hidden="false" customHeight="false" outlineLevel="0" collapsed="false">
      <c r="A127" s="8" t="n">
        <v>126</v>
      </c>
      <c r="B127" s="8" t="n">
        <v>3</v>
      </c>
      <c r="C127" s="8" t="s">
        <v>689</v>
      </c>
      <c r="D127" s="8" t="s">
        <v>432</v>
      </c>
      <c r="E127" s="8" t="s">
        <v>703</v>
      </c>
      <c r="F127" s="9" t="s">
        <v>408</v>
      </c>
      <c r="G127" s="9" t="n">
        <v>1</v>
      </c>
      <c r="H127" s="9" t="n">
        <v>3</v>
      </c>
      <c r="I127" s="8" t="s">
        <v>210</v>
      </c>
      <c r="J127" s="8" t="n">
        <v>31</v>
      </c>
      <c r="K127" s="8" t="n">
        <v>1.5</v>
      </c>
      <c r="L127" s="8"/>
      <c r="M127" s="8"/>
      <c r="N127" s="8" t="s">
        <v>557</v>
      </c>
    </row>
    <row r="128" customFormat="false" ht="15" hidden="false" customHeight="false" outlineLevel="0" collapsed="false">
      <c r="A128" s="8" t="n">
        <v>127</v>
      </c>
      <c r="B128" s="8" t="n">
        <v>3</v>
      </c>
      <c r="C128" s="8" t="s">
        <v>689</v>
      </c>
      <c r="D128" s="8" t="s">
        <v>704</v>
      </c>
      <c r="E128" s="8" t="s">
        <v>705</v>
      </c>
      <c r="F128" s="9" t="s">
        <v>408</v>
      </c>
      <c r="G128" s="9" t="n">
        <v>1</v>
      </c>
      <c r="H128" s="9" t="n">
        <v>3</v>
      </c>
      <c r="I128" s="8" t="s">
        <v>210</v>
      </c>
      <c r="J128" s="8" t="n">
        <v>36</v>
      </c>
      <c r="K128" s="8" t="n">
        <v>1.5</v>
      </c>
      <c r="L128" s="8"/>
      <c r="M128" s="8"/>
      <c r="N128" s="8" t="s">
        <v>563</v>
      </c>
    </row>
    <row r="129" customFormat="false" ht="15" hidden="false" customHeight="false" outlineLevel="0" collapsed="false">
      <c r="A129" s="8" t="n">
        <v>128</v>
      </c>
      <c r="B129" s="8" t="n">
        <v>3</v>
      </c>
      <c r="C129" s="8" t="s">
        <v>689</v>
      </c>
      <c r="D129" s="8" t="s">
        <v>706</v>
      </c>
      <c r="E129" s="8" t="s">
        <v>707</v>
      </c>
      <c r="F129" s="9" t="s">
        <v>408</v>
      </c>
      <c r="G129" s="9" t="n">
        <v>1</v>
      </c>
      <c r="H129" s="9" t="n">
        <v>3</v>
      </c>
      <c r="I129" s="8" t="s">
        <v>210</v>
      </c>
      <c r="J129" s="8" t="n">
        <v>39</v>
      </c>
      <c r="K129" s="8" t="n">
        <v>1.5</v>
      </c>
      <c r="L129" s="8"/>
      <c r="M129" s="8"/>
      <c r="N129" s="8" t="s">
        <v>708</v>
      </c>
    </row>
    <row r="130" customFormat="false" ht="15" hidden="false" customHeight="false" outlineLevel="0" collapsed="false">
      <c r="A130" s="8" t="n">
        <v>129</v>
      </c>
      <c r="B130" s="8" t="n">
        <v>3</v>
      </c>
      <c r="C130" s="8" t="s">
        <v>689</v>
      </c>
      <c r="D130" s="8" t="s">
        <v>709</v>
      </c>
      <c r="E130" s="8" t="s">
        <v>710</v>
      </c>
      <c r="F130" s="9" t="s">
        <v>408</v>
      </c>
      <c r="G130" s="9" t="n">
        <v>1</v>
      </c>
      <c r="H130" s="9" t="n">
        <v>3</v>
      </c>
      <c r="I130" s="8" t="s">
        <v>210</v>
      </c>
      <c r="J130" s="8" t="n">
        <v>41</v>
      </c>
      <c r="K130" s="8" t="n">
        <v>1.5</v>
      </c>
      <c r="L130" s="8"/>
      <c r="M130" s="8"/>
      <c r="N130" s="8" t="s">
        <v>565</v>
      </c>
    </row>
    <row r="131" customFormat="false" ht="15" hidden="false" customHeight="false" outlineLevel="0" collapsed="false">
      <c r="A131" s="8" t="n">
        <v>130</v>
      </c>
      <c r="B131" s="8" t="n">
        <v>3</v>
      </c>
      <c r="C131" s="8" t="s">
        <v>711</v>
      </c>
      <c r="D131" s="8" t="s">
        <v>712</v>
      </c>
      <c r="E131" s="8" t="s">
        <v>713</v>
      </c>
      <c r="F131" s="9" t="s">
        <v>408</v>
      </c>
      <c r="G131" s="9" t="n">
        <v>1</v>
      </c>
      <c r="H131" s="9" t="n">
        <v>3</v>
      </c>
      <c r="I131" s="8" t="s">
        <v>211</v>
      </c>
      <c r="J131" s="8" t="n">
        <v>6</v>
      </c>
      <c r="K131" s="8" t="n">
        <v>1.5</v>
      </c>
      <c r="L131" s="8"/>
      <c r="M131" s="8"/>
      <c r="N131" s="8" t="s">
        <v>576</v>
      </c>
    </row>
    <row r="132" customFormat="false" ht="15" hidden="false" customHeight="false" outlineLevel="0" collapsed="false">
      <c r="A132" s="8" t="n">
        <v>131</v>
      </c>
      <c r="B132" s="8" t="n">
        <v>3</v>
      </c>
      <c r="C132" s="8" t="s">
        <v>711</v>
      </c>
      <c r="D132" s="8" t="s">
        <v>714</v>
      </c>
      <c r="E132" s="8" t="s">
        <v>715</v>
      </c>
      <c r="F132" s="9" t="s">
        <v>408</v>
      </c>
      <c r="G132" s="9" t="n">
        <v>1</v>
      </c>
      <c r="H132" s="9" t="n">
        <v>3</v>
      </c>
      <c r="I132" s="8" t="s">
        <v>211</v>
      </c>
      <c r="J132" s="8" t="n">
        <v>13</v>
      </c>
      <c r="K132" s="8" t="n">
        <v>1.5</v>
      </c>
      <c r="L132" s="8"/>
      <c r="M132" s="8"/>
      <c r="N132" s="8" t="s">
        <v>580</v>
      </c>
    </row>
    <row r="133" customFormat="false" ht="15" hidden="false" customHeight="false" outlineLevel="0" collapsed="false">
      <c r="A133" s="8" t="n">
        <v>132</v>
      </c>
      <c r="B133" s="8" t="n">
        <v>3</v>
      </c>
      <c r="C133" s="8" t="s">
        <v>711</v>
      </c>
      <c r="D133" s="8" t="s">
        <v>716</v>
      </c>
      <c r="E133" s="8" t="s">
        <v>717</v>
      </c>
      <c r="F133" s="9" t="s">
        <v>408</v>
      </c>
      <c r="G133" s="9" t="n">
        <v>1</v>
      </c>
      <c r="H133" s="9" t="n">
        <v>3</v>
      </c>
      <c r="I133" s="8" t="s">
        <v>211</v>
      </c>
      <c r="J133" s="8" t="n">
        <v>17</v>
      </c>
      <c r="K133" s="8" t="n">
        <v>1.5</v>
      </c>
      <c r="L133" s="8"/>
      <c r="M133" s="8"/>
      <c r="N133" s="8" t="s">
        <v>718</v>
      </c>
    </row>
    <row r="134" customFormat="false" ht="15" hidden="false" customHeight="false" outlineLevel="0" collapsed="false">
      <c r="A134" s="8" t="n">
        <v>133</v>
      </c>
      <c r="B134" s="8" t="n">
        <v>3</v>
      </c>
      <c r="C134" s="8" t="s">
        <v>711</v>
      </c>
      <c r="D134" s="8" t="s">
        <v>719</v>
      </c>
      <c r="E134" s="8" t="s">
        <v>720</v>
      </c>
      <c r="F134" s="9" t="s">
        <v>408</v>
      </c>
      <c r="G134" s="9" t="n">
        <v>1</v>
      </c>
      <c r="H134" s="9" t="n">
        <v>3</v>
      </c>
      <c r="I134" s="8" t="s">
        <v>211</v>
      </c>
      <c r="J134" s="8" t="n">
        <v>23</v>
      </c>
      <c r="K134" s="8" t="n">
        <v>1.5</v>
      </c>
      <c r="L134" s="8"/>
      <c r="M134" s="8"/>
      <c r="N134" s="8" t="s">
        <v>721</v>
      </c>
    </row>
    <row r="135" customFormat="false" ht="15" hidden="false" customHeight="false" outlineLevel="0" collapsed="false">
      <c r="A135" s="8" t="n">
        <v>134</v>
      </c>
      <c r="B135" s="8" t="n">
        <v>3</v>
      </c>
      <c r="C135" s="8" t="s">
        <v>711</v>
      </c>
      <c r="D135" s="8" t="s">
        <v>722</v>
      </c>
      <c r="E135" s="8" t="s">
        <v>723</v>
      </c>
      <c r="F135" s="9" t="s">
        <v>408</v>
      </c>
      <c r="G135" s="9" t="n">
        <v>1</v>
      </c>
      <c r="H135" s="9" t="n">
        <v>3</v>
      </c>
      <c r="I135" s="8" t="s">
        <v>211</v>
      </c>
      <c r="J135" s="8" t="n">
        <v>25</v>
      </c>
      <c r="K135" s="8" t="n">
        <v>1.5</v>
      </c>
      <c r="L135" s="8"/>
      <c r="M135" s="8"/>
      <c r="N135" s="8" t="s">
        <v>724</v>
      </c>
    </row>
    <row r="136" customFormat="false" ht="15" hidden="false" customHeight="false" outlineLevel="0" collapsed="false">
      <c r="A136" s="8" t="n">
        <v>135</v>
      </c>
      <c r="B136" s="8" t="n">
        <v>3</v>
      </c>
      <c r="C136" s="8" t="s">
        <v>711</v>
      </c>
      <c r="D136" s="8" t="s">
        <v>725</v>
      </c>
      <c r="E136" s="8" t="s">
        <v>726</v>
      </c>
      <c r="F136" s="9" t="s">
        <v>408</v>
      </c>
      <c r="G136" s="9" t="n">
        <v>1</v>
      </c>
      <c r="H136" s="9" t="n">
        <v>3</v>
      </c>
      <c r="I136" s="8" t="s">
        <v>211</v>
      </c>
      <c r="J136" s="8" t="n">
        <v>27</v>
      </c>
      <c r="K136" s="8" t="n">
        <v>1.5</v>
      </c>
      <c r="L136" s="8"/>
      <c r="M136" s="8"/>
      <c r="N136" s="8" t="s">
        <v>727</v>
      </c>
    </row>
    <row r="137" customFormat="false" ht="15" hidden="false" customHeight="false" outlineLevel="0" collapsed="false">
      <c r="A137" s="8" t="n">
        <v>136</v>
      </c>
      <c r="B137" s="8" t="n">
        <v>3</v>
      </c>
      <c r="C137" s="8" t="s">
        <v>711</v>
      </c>
      <c r="D137" s="8" t="s">
        <v>728</v>
      </c>
      <c r="E137" s="8" t="s">
        <v>729</v>
      </c>
      <c r="F137" s="9" t="s">
        <v>408</v>
      </c>
      <c r="G137" s="9" t="n">
        <v>1</v>
      </c>
      <c r="H137" s="9" t="n">
        <v>3</v>
      </c>
      <c r="I137" s="8" t="s">
        <v>211</v>
      </c>
      <c r="J137" s="8" t="n">
        <v>29</v>
      </c>
      <c r="K137" s="8" t="n">
        <v>1.5</v>
      </c>
      <c r="L137" s="8"/>
      <c r="M137" s="8"/>
      <c r="N137" s="8" t="s">
        <v>730</v>
      </c>
    </row>
    <row r="138" customFormat="false" ht="15" hidden="false" customHeight="false" outlineLevel="0" collapsed="false">
      <c r="A138" s="8" t="n">
        <v>137</v>
      </c>
      <c r="B138" s="8" t="n">
        <v>3</v>
      </c>
      <c r="C138" s="8" t="s">
        <v>711</v>
      </c>
      <c r="D138" s="8" t="s">
        <v>731</v>
      </c>
      <c r="E138" s="8" t="s">
        <v>732</v>
      </c>
      <c r="F138" s="9" t="s">
        <v>408</v>
      </c>
      <c r="G138" s="9" t="n">
        <v>1</v>
      </c>
      <c r="H138" s="9" t="n">
        <v>3</v>
      </c>
      <c r="I138" s="8" t="s">
        <v>211</v>
      </c>
      <c r="J138" s="8" t="n">
        <v>31</v>
      </c>
      <c r="K138" s="8" t="n">
        <v>1.5</v>
      </c>
      <c r="L138" s="8"/>
      <c r="M138" s="8"/>
      <c r="N138" s="8" t="s">
        <v>733</v>
      </c>
    </row>
    <row r="139" customFormat="false" ht="15" hidden="false" customHeight="false" outlineLevel="0" collapsed="false">
      <c r="A139" s="8" t="n">
        <v>138</v>
      </c>
      <c r="B139" s="8" t="n">
        <v>3</v>
      </c>
      <c r="C139" s="8" t="s">
        <v>711</v>
      </c>
      <c r="D139" s="8" t="s">
        <v>734</v>
      </c>
      <c r="E139" s="8" t="s">
        <v>735</v>
      </c>
      <c r="F139" s="9" t="s">
        <v>408</v>
      </c>
      <c r="G139" s="9" t="n">
        <v>1</v>
      </c>
      <c r="H139" s="9" t="n">
        <v>3</v>
      </c>
      <c r="I139" s="8" t="s">
        <v>211</v>
      </c>
      <c r="J139" s="8" t="n">
        <v>35</v>
      </c>
      <c r="K139" s="8" t="n">
        <v>1.5</v>
      </c>
      <c r="L139" s="8"/>
      <c r="M139" s="8"/>
      <c r="N139" s="8" t="s">
        <v>736</v>
      </c>
    </row>
    <row r="140" customFormat="false" ht="15" hidden="false" customHeight="false" outlineLevel="0" collapsed="false">
      <c r="A140" s="8" t="n">
        <v>139</v>
      </c>
      <c r="B140" s="8" t="n">
        <v>3</v>
      </c>
      <c r="C140" s="8" t="s">
        <v>737</v>
      </c>
      <c r="D140" s="8" t="s">
        <v>446</v>
      </c>
      <c r="E140" s="8" t="s">
        <v>738</v>
      </c>
      <c r="F140" s="9" t="s">
        <v>408</v>
      </c>
      <c r="G140" s="9" t="n">
        <v>1</v>
      </c>
      <c r="H140" s="9" t="n">
        <v>3</v>
      </c>
      <c r="I140" s="8" t="s">
        <v>212</v>
      </c>
      <c r="J140" s="8" t="n">
        <v>5</v>
      </c>
      <c r="K140" s="8" t="n">
        <v>1.5</v>
      </c>
      <c r="L140" s="8"/>
      <c r="M140" s="8"/>
      <c r="N140" s="8" t="s">
        <v>591</v>
      </c>
    </row>
    <row r="141" customFormat="false" ht="15" hidden="false" customHeight="false" outlineLevel="0" collapsed="false">
      <c r="A141" s="8" t="n">
        <v>140</v>
      </c>
      <c r="B141" s="8" t="n">
        <v>3</v>
      </c>
      <c r="C141" s="8" t="s">
        <v>737</v>
      </c>
      <c r="D141" s="8" t="s">
        <v>448</v>
      </c>
      <c r="E141" s="8" t="s">
        <v>739</v>
      </c>
      <c r="F141" s="9" t="s">
        <v>408</v>
      </c>
      <c r="G141" s="9" t="n">
        <v>1</v>
      </c>
      <c r="H141" s="9" t="n">
        <v>3</v>
      </c>
      <c r="I141" s="8" t="s">
        <v>212</v>
      </c>
      <c r="J141" s="8" t="n">
        <v>9</v>
      </c>
      <c r="K141" s="8" t="n">
        <v>1.5</v>
      </c>
      <c r="L141" s="8"/>
      <c r="M141" s="8"/>
      <c r="N141" s="8" t="s">
        <v>740</v>
      </c>
    </row>
    <row r="142" customFormat="false" ht="15" hidden="false" customHeight="false" outlineLevel="0" collapsed="false">
      <c r="A142" s="8" t="n">
        <v>141</v>
      </c>
      <c r="B142" s="8" t="n">
        <v>3</v>
      </c>
      <c r="C142" s="8" t="s">
        <v>737</v>
      </c>
      <c r="D142" s="8" t="s">
        <v>741</v>
      </c>
      <c r="E142" s="8" t="s">
        <v>742</v>
      </c>
      <c r="F142" s="9" t="s">
        <v>408</v>
      </c>
      <c r="G142" s="9" t="n">
        <v>1</v>
      </c>
      <c r="H142" s="9" t="n">
        <v>3</v>
      </c>
      <c r="I142" s="8" t="s">
        <v>212</v>
      </c>
      <c r="J142" s="8" t="n">
        <v>15</v>
      </c>
      <c r="K142" s="8" t="n">
        <v>1.5</v>
      </c>
      <c r="L142" s="8"/>
      <c r="M142" s="8"/>
      <c r="N142" s="8" t="s">
        <v>743</v>
      </c>
    </row>
    <row r="143" customFormat="false" ht="15" hidden="false" customHeight="false" outlineLevel="0" collapsed="false">
      <c r="A143" s="8" t="n">
        <v>142</v>
      </c>
      <c r="B143" s="8" t="n">
        <v>3</v>
      </c>
      <c r="C143" s="8" t="s">
        <v>737</v>
      </c>
      <c r="D143" s="8" t="s">
        <v>744</v>
      </c>
      <c r="E143" s="8" t="s">
        <v>745</v>
      </c>
      <c r="F143" s="9" t="s">
        <v>408</v>
      </c>
      <c r="G143" s="9" t="n">
        <v>1</v>
      </c>
      <c r="H143" s="9" t="n">
        <v>3</v>
      </c>
      <c r="I143" s="8" t="s">
        <v>212</v>
      </c>
      <c r="J143" s="8" t="n">
        <v>17</v>
      </c>
      <c r="K143" s="8" t="n">
        <v>1.5</v>
      </c>
      <c r="L143" s="8"/>
      <c r="M143" s="8"/>
      <c r="N143" s="8" t="s">
        <v>746</v>
      </c>
    </row>
    <row r="144" customFormat="false" ht="15" hidden="false" customHeight="false" outlineLevel="0" collapsed="false">
      <c r="A144" s="8" t="n">
        <v>143</v>
      </c>
      <c r="B144" s="8" t="n">
        <v>3</v>
      </c>
      <c r="C144" s="8" t="s">
        <v>737</v>
      </c>
      <c r="D144" s="8" t="s">
        <v>747</v>
      </c>
      <c r="E144" s="8" t="s">
        <v>748</v>
      </c>
      <c r="F144" s="9" t="s">
        <v>408</v>
      </c>
      <c r="G144" s="9" t="n">
        <v>1</v>
      </c>
      <c r="H144" s="9" t="n">
        <v>3</v>
      </c>
      <c r="I144" s="8" t="s">
        <v>212</v>
      </c>
      <c r="J144" s="8" t="n">
        <v>27</v>
      </c>
      <c r="K144" s="8" t="n">
        <v>1.5</v>
      </c>
      <c r="L144" s="8"/>
      <c r="M144" s="8"/>
      <c r="N144" s="8" t="s">
        <v>749</v>
      </c>
    </row>
    <row r="145" customFormat="false" ht="15" hidden="false" customHeight="false" outlineLevel="0" collapsed="false">
      <c r="A145" s="8" t="n">
        <v>144</v>
      </c>
      <c r="B145" s="8" t="n">
        <v>3</v>
      </c>
      <c r="C145" s="8" t="s">
        <v>737</v>
      </c>
      <c r="D145" s="8" t="s">
        <v>750</v>
      </c>
      <c r="E145" s="8" t="s">
        <v>751</v>
      </c>
      <c r="F145" s="9" t="s">
        <v>408</v>
      </c>
      <c r="G145" s="9" t="n">
        <v>1</v>
      </c>
      <c r="H145" s="9" t="n">
        <v>3</v>
      </c>
      <c r="I145" s="8" t="s">
        <v>212</v>
      </c>
      <c r="J145" s="8" t="n">
        <v>28</v>
      </c>
      <c r="K145" s="8" t="n">
        <v>1.5</v>
      </c>
      <c r="L145" s="8"/>
      <c r="M145" s="8"/>
      <c r="N145" s="8" t="s">
        <v>752</v>
      </c>
    </row>
    <row r="146" customFormat="false" ht="15" hidden="false" customHeight="false" outlineLevel="0" collapsed="false">
      <c r="A146" s="8" t="n">
        <v>145</v>
      </c>
      <c r="B146" s="8" t="n">
        <v>3</v>
      </c>
      <c r="C146" s="8" t="s">
        <v>737</v>
      </c>
      <c r="D146" s="8" t="s">
        <v>753</v>
      </c>
      <c r="E146" s="8" t="s">
        <v>754</v>
      </c>
      <c r="F146" s="9" t="s">
        <v>408</v>
      </c>
      <c r="G146" s="9" t="n">
        <v>1</v>
      </c>
      <c r="H146" s="9" t="n">
        <v>3</v>
      </c>
      <c r="I146" s="8" t="s">
        <v>212</v>
      </c>
      <c r="J146" s="8" t="n">
        <v>39</v>
      </c>
      <c r="K146" s="8" t="n">
        <v>1.5</v>
      </c>
      <c r="L146" s="8"/>
      <c r="M146" s="8"/>
      <c r="N146" s="8" t="s">
        <v>755</v>
      </c>
    </row>
    <row r="147" customFormat="false" ht="15" hidden="false" customHeight="false" outlineLevel="0" collapsed="false">
      <c r="A147" s="8" t="n">
        <v>146</v>
      </c>
      <c r="B147" s="8" t="n">
        <v>3</v>
      </c>
      <c r="C147" s="8" t="s">
        <v>737</v>
      </c>
      <c r="D147" s="8" t="s">
        <v>452</v>
      </c>
      <c r="E147" s="8" t="s">
        <v>756</v>
      </c>
      <c r="F147" s="9" t="s">
        <v>408</v>
      </c>
      <c r="G147" s="9" t="n">
        <v>1</v>
      </c>
      <c r="H147" s="9" t="n">
        <v>3</v>
      </c>
      <c r="I147" s="8" t="s">
        <v>212</v>
      </c>
      <c r="J147" s="8" t="n">
        <v>40</v>
      </c>
      <c r="K147" s="8" t="n">
        <v>1.5</v>
      </c>
      <c r="L147" s="8"/>
      <c r="M147" s="8"/>
      <c r="N147" s="8" t="s">
        <v>757</v>
      </c>
    </row>
    <row r="148" customFormat="false" ht="15" hidden="false" customHeight="false" outlineLevel="0" collapsed="false">
      <c r="A148" s="8" t="n">
        <v>147</v>
      </c>
      <c r="B148" s="8" t="n">
        <v>3</v>
      </c>
      <c r="C148" s="8" t="s">
        <v>737</v>
      </c>
      <c r="D148" s="8" t="s">
        <v>758</v>
      </c>
      <c r="E148" s="8" t="s">
        <v>759</v>
      </c>
      <c r="F148" s="9" t="s">
        <v>408</v>
      </c>
      <c r="G148" s="9" t="n">
        <v>1</v>
      </c>
      <c r="H148" s="9" t="n">
        <v>3</v>
      </c>
      <c r="I148" s="8" t="s">
        <v>212</v>
      </c>
      <c r="J148" s="8" t="n">
        <v>48</v>
      </c>
      <c r="K148" s="8" t="n">
        <v>1.5</v>
      </c>
      <c r="L148" s="8"/>
      <c r="M148" s="8"/>
      <c r="N148" s="8" t="s">
        <v>760</v>
      </c>
    </row>
    <row r="149" customFormat="false" ht="15" hidden="false" customHeight="false" outlineLevel="0" collapsed="false">
      <c r="A149" s="8" t="n">
        <v>148</v>
      </c>
      <c r="B149" s="8" t="n">
        <v>3</v>
      </c>
      <c r="C149" s="8" t="s">
        <v>737</v>
      </c>
      <c r="D149" s="8" t="s">
        <v>454</v>
      </c>
      <c r="E149" s="8" t="s">
        <v>761</v>
      </c>
      <c r="F149" s="9" t="s">
        <v>408</v>
      </c>
      <c r="G149" s="9" t="n">
        <v>1</v>
      </c>
      <c r="H149" s="9" t="n">
        <v>3</v>
      </c>
      <c r="I149" s="8" t="s">
        <v>212</v>
      </c>
      <c r="J149" s="8" t="n">
        <v>51</v>
      </c>
      <c r="K149" s="8" t="n">
        <v>1.5</v>
      </c>
      <c r="L149" s="8"/>
      <c r="M149" s="8"/>
      <c r="N149" s="8" t="s">
        <v>762</v>
      </c>
    </row>
    <row r="150" customFormat="false" ht="15" hidden="false" customHeight="false" outlineLevel="0" collapsed="false">
      <c r="A150" s="8" t="n">
        <v>149</v>
      </c>
      <c r="B150" s="8" t="n">
        <v>3</v>
      </c>
      <c r="C150" s="8" t="s">
        <v>737</v>
      </c>
      <c r="D150" s="8" t="s">
        <v>456</v>
      </c>
      <c r="E150" s="8" t="s">
        <v>763</v>
      </c>
      <c r="F150" s="9" t="s">
        <v>408</v>
      </c>
      <c r="G150" s="9" t="n">
        <v>1</v>
      </c>
      <c r="H150" s="9" t="n">
        <v>3</v>
      </c>
      <c r="I150" s="8" t="s">
        <v>212</v>
      </c>
      <c r="J150" s="8" t="n">
        <v>53</v>
      </c>
      <c r="K150" s="8" t="n">
        <v>1.5</v>
      </c>
      <c r="L150" s="8"/>
      <c r="M150" s="8"/>
      <c r="N150" s="8" t="s">
        <v>764</v>
      </c>
    </row>
    <row r="151" customFormat="false" ht="15" hidden="false" customHeight="false" outlineLevel="0" collapsed="false">
      <c r="A151" s="8" t="n">
        <v>150</v>
      </c>
      <c r="B151" s="8" t="n">
        <v>3</v>
      </c>
      <c r="C151" s="8" t="s">
        <v>765</v>
      </c>
      <c r="D151" s="8" t="s">
        <v>467</v>
      </c>
      <c r="E151" s="8" t="s">
        <v>766</v>
      </c>
      <c r="F151" s="9" t="s">
        <v>408</v>
      </c>
      <c r="G151" s="9" t="n">
        <v>1</v>
      </c>
      <c r="H151" s="9" t="n">
        <v>3</v>
      </c>
      <c r="I151" s="8" t="s">
        <v>213</v>
      </c>
      <c r="J151" s="8" t="n">
        <v>7</v>
      </c>
      <c r="K151" s="8" t="n">
        <v>1.5</v>
      </c>
      <c r="L151" s="8"/>
      <c r="M151" s="8"/>
      <c r="N151" s="8" t="s">
        <v>601</v>
      </c>
    </row>
    <row r="152" customFormat="false" ht="15" hidden="false" customHeight="false" outlineLevel="0" collapsed="false">
      <c r="A152" s="8" t="n">
        <v>151</v>
      </c>
      <c r="B152" s="8" t="n">
        <v>3</v>
      </c>
      <c r="C152" s="8" t="s">
        <v>765</v>
      </c>
      <c r="D152" s="8" t="s">
        <v>611</v>
      </c>
      <c r="E152" s="8" t="s">
        <v>767</v>
      </c>
      <c r="F152" s="9" t="s">
        <v>408</v>
      </c>
      <c r="G152" s="9" t="n">
        <v>1</v>
      </c>
      <c r="H152" s="9" t="n">
        <v>3</v>
      </c>
      <c r="I152" s="8" t="s">
        <v>213</v>
      </c>
      <c r="J152" s="8" t="n">
        <v>9</v>
      </c>
      <c r="K152" s="8" t="n">
        <v>1.5</v>
      </c>
      <c r="L152" s="8"/>
      <c r="M152" s="8"/>
      <c r="N152" s="8" t="s">
        <v>603</v>
      </c>
    </row>
    <row r="153" customFormat="false" ht="15" hidden="false" customHeight="false" outlineLevel="0" collapsed="false">
      <c r="A153" s="8" t="n">
        <v>152</v>
      </c>
      <c r="B153" s="8" t="n">
        <v>3</v>
      </c>
      <c r="C153" s="8" t="s">
        <v>765</v>
      </c>
      <c r="D153" s="8" t="s">
        <v>614</v>
      </c>
      <c r="E153" s="8" t="s">
        <v>768</v>
      </c>
      <c r="F153" s="9" t="s">
        <v>408</v>
      </c>
      <c r="G153" s="9" t="n">
        <v>1</v>
      </c>
      <c r="H153" s="9" t="n">
        <v>3</v>
      </c>
      <c r="I153" s="8" t="s">
        <v>213</v>
      </c>
      <c r="J153" s="8" t="n">
        <v>19</v>
      </c>
      <c r="K153" s="8" t="n">
        <v>1.5</v>
      </c>
      <c r="L153" s="8"/>
      <c r="M153" s="8"/>
      <c r="N153" s="8" t="s">
        <v>769</v>
      </c>
    </row>
    <row r="154" customFormat="false" ht="15" hidden="false" customHeight="false" outlineLevel="0" collapsed="false">
      <c r="A154" s="8" t="n">
        <v>153</v>
      </c>
      <c r="B154" s="8" t="n">
        <v>3</v>
      </c>
      <c r="C154" s="8" t="s">
        <v>765</v>
      </c>
      <c r="D154" s="8" t="s">
        <v>770</v>
      </c>
      <c r="E154" s="8" t="s">
        <v>771</v>
      </c>
      <c r="F154" s="9" t="s">
        <v>408</v>
      </c>
      <c r="G154" s="9" t="n">
        <v>1</v>
      </c>
      <c r="H154" s="9" t="n">
        <v>3</v>
      </c>
      <c r="I154" s="8" t="s">
        <v>213</v>
      </c>
      <c r="J154" s="8" t="n">
        <v>23</v>
      </c>
      <c r="K154" s="8" t="n">
        <v>1.5</v>
      </c>
      <c r="L154" s="8"/>
      <c r="M154" s="8"/>
      <c r="N154" s="8" t="s">
        <v>772</v>
      </c>
    </row>
    <row r="155" customFormat="false" ht="15" hidden="false" customHeight="false" outlineLevel="0" collapsed="false">
      <c r="A155" s="8" t="n">
        <v>154</v>
      </c>
      <c r="B155" s="8" t="n">
        <v>3</v>
      </c>
      <c r="C155" s="8" t="s">
        <v>765</v>
      </c>
      <c r="D155" s="8" t="s">
        <v>617</v>
      </c>
      <c r="E155" s="8" t="s">
        <v>773</v>
      </c>
      <c r="F155" s="9" t="s">
        <v>408</v>
      </c>
      <c r="G155" s="9" t="n">
        <v>1</v>
      </c>
      <c r="H155" s="9" t="n">
        <v>3</v>
      </c>
      <c r="I155" s="8" t="s">
        <v>213</v>
      </c>
      <c r="J155" s="8" t="n">
        <v>31</v>
      </c>
      <c r="K155" s="8" t="n">
        <v>1.5</v>
      </c>
      <c r="L155" s="8"/>
      <c r="M155" s="8"/>
      <c r="N155" s="8" t="s">
        <v>774</v>
      </c>
    </row>
    <row r="156" customFormat="false" ht="15" hidden="false" customHeight="false" outlineLevel="0" collapsed="false">
      <c r="A156" s="8" t="n">
        <v>155</v>
      </c>
      <c r="B156" s="8" t="n">
        <v>3</v>
      </c>
      <c r="C156" s="8" t="s">
        <v>765</v>
      </c>
      <c r="D156" s="8" t="s">
        <v>775</v>
      </c>
      <c r="E156" s="8" t="s">
        <v>776</v>
      </c>
      <c r="F156" s="9" t="s">
        <v>408</v>
      </c>
      <c r="G156" s="9" t="n">
        <v>1</v>
      </c>
      <c r="H156" s="9" t="n">
        <v>3</v>
      </c>
      <c r="I156" s="8" t="s">
        <v>213</v>
      </c>
      <c r="J156" s="8" t="n">
        <v>35</v>
      </c>
      <c r="K156" s="8" t="n">
        <v>1.5</v>
      </c>
      <c r="L156" s="8"/>
      <c r="M156" s="8"/>
      <c r="N156" s="8" t="s">
        <v>777</v>
      </c>
    </row>
    <row r="157" customFormat="false" ht="15" hidden="false" customHeight="false" outlineLevel="0" collapsed="false">
      <c r="A157" s="8" t="n">
        <v>156</v>
      </c>
      <c r="B157" s="8" t="n">
        <v>3</v>
      </c>
      <c r="C157" s="8" t="s">
        <v>778</v>
      </c>
      <c r="D157" s="8" t="s">
        <v>474</v>
      </c>
      <c r="E157" s="8" t="s">
        <v>779</v>
      </c>
      <c r="F157" s="9" t="s">
        <v>408</v>
      </c>
      <c r="G157" s="9" t="n">
        <v>1</v>
      </c>
      <c r="H157" s="9" t="n">
        <v>3</v>
      </c>
      <c r="I157" s="8" t="s">
        <v>214</v>
      </c>
      <c r="J157" s="8" t="n">
        <v>6</v>
      </c>
      <c r="K157" s="8" t="n">
        <v>1.5</v>
      </c>
      <c r="L157" s="8"/>
      <c r="M157" s="8"/>
      <c r="N157" s="8" t="s">
        <v>621</v>
      </c>
    </row>
    <row r="158" customFormat="false" ht="15" hidden="false" customHeight="false" outlineLevel="0" collapsed="false">
      <c r="A158" s="8" t="n">
        <v>157</v>
      </c>
      <c r="B158" s="8" t="n">
        <v>3</v>
      </c>
      <c r="C158" s="8" t="s">
        <v>778</v>
      </c>
      <c r="D158" s="8" t="s">
        <v>476</v>
      </c>
      <c r="E158" s="8" t="s">
        <v>780</v>
      </c>
      <c r="F158" s="9" t="s">
        <v>408</v>
      </c>
      <c r="G158" s="9" t="n">
        <v>1</v>
      </c>
      <c r="H158" s="9" t="n">
        <v>3</v>
      </c>
      <c r="I158" s="8" t="s">
        <v>214</v>
      </c>
      <c r="J158" s="8" t="n">
        <v>7</v>
      </c>
      <c r="K158" s="8" t="n">
        <v>1.5</v>
      </c>
      <c r="L158" s="8"/>
      <c r="M158" s="8"/>
      <c r="N158" s="8" t="s">
        <v>781</v>
      </c>
    </row>
    <row r="159" customFormat="false" ht="15" hidden="false" customHeight="false" outlineLevel="0" collapsed="false">
      <c r="A159" s="8" t="n">
        <v>158</v>
      </c>
      <c r="B159" s="8" t="n">
        <v>3</v>
      </c>
      <c r="C159" s="8" t="s">
        <v>778</v>
      </c>
      <c r="D159" s="8" t="s">
        <v>478</v>
      </c>
      <c r="E159" s="8" t="s">
        <v>782</v>
      </c>
      <c r="F159" s="9" t="s">
        <v>408</v>
      </c>
      <c r="G159" s="9" t="n">
        <v>1</v>
      </c>
      <c r="H159" s="9" t="n">
        <v>3</v>
      </c>
      <c r="I159" s="8" t="s">
        <v>214</v>
      </c>
      <c r="J159" s="8" t="n">
        <v>13</v>
      </c>
      <c r="K159" s="8" t="n">
        <v>1.5</v>
      </c>
      <c r="L159" s="8"/>
      <c r="M159" s="8"/>
      <c r="N159" s="8" t="s">
        <v>783</v>
      </c>
    </row>
    <row r="160" customFormat="false" ht="15" hidden="false" customHeight="false" outlineLevel="0" collapsed="false">
      <c r="A160" s="8" t="n">
        <v>159</v>
      </c>
      <c r="B160" s="8" t="n">
        <v>3</v>
      </c>
      <c r="C160" s="8" t="s">
        <v>778</v>
      </c>
      <c r="D160" s="8" t="s">
        <v>480</v>
      </c>
      <c r="E160" s="8" t="s">
        <v>784</v>
      </c>
      <c r="F160" s="9" t="s">
        <v>408</v>
      </c>
      <c r="G160" s="9" t="n">
        <v>1</v>
      </c>
      <c r="H160" s="9" t="n">
        <v>3</v>
      </c>
      <c r="I160" s="8" t="s">
        <v>214</v>
      </c>
      <c r="J160" s="8" t="n">
        <v>15</v>
      </c>
      <c r="K160" s="8" t="n">
        <v>1.5</v>
      </c>
      <c r="L160" s="8"/>
      <c r="M160" s="8"/>
      <c r="N160" s="8" t="s">
        <v>785</v>
      </c>
    </row>
    <row r="161" customFormat="false" ht="15" hidden="false" customHeight="false" outlineLevel="0" collapsed="false">
      <c r="A161" s="8" t="n">
        <v>160</v>
      </c>
      <c r="B161" s="8" t="n">
        <v>4</v>
      </c>
      <c r="C161" s="8" t="s">
        <v>786</v>
      </c>
      <c r="D161" s="8" t="s">
        <v>406</v>
      </c>
      <c r="E161" s="8" t="s">
        <v>787</v>
      </c>
      <c r="F161" s="9" t="s">
        <v>408</v>
      </c>
      <c r="G161" s="9" t="n">
        <v>1</v>
      </c>
      <c r="H161" s="9" t="n">
        <v>3</v>
      </c>
      <c r="I161" s="8" t="s">
        <v>245</v>
      </c>
      <c r="J161" s="8" t="n">
        <v>5</v>
      </c>
      <c r="K161" s="8" t="n">
        <v>1.5</v>
      </c>
      <c r="L161" s="8"/>
      <c r="M161" s="8"/>
      <c r="N161" s="8" t="s">
        <v>788</v>
      </c>
    </row>
    <row r="162" customFormat="false" ht="15" hidden="false" customHeight="false" outlineLevel="0" collapsed="false">
      <c r="A162" s="8" t="n">
        <v>161</v>
      </c>
      <c r="B162" s="8" t="n">
        <v>4</v>
      </c>
      <c r="C162" s="8" t="s">
        <v>786</v>
      </c>
      <c r="D162" s="8" t="s">
        <v>409</v>
      </c>
      <c r="E162" s="8" t="s">
        <v>789</v>
      </c>
      <c r="F162" s="9" t="s">
        <v>408</v>
      </c>
      <c r="G162" s="9" t="n">
        <v>1</v>
      </c>
      <c r="H162" s="9" t="n">
        <v>3</v>
      </c>
      <c r="I162" s="8" t="s">
        <v>245</v>
      </c>
      <c r="J162" s="8" t="n">
        <v>7</v>
      </c>
      <c r="K162" s="8" t="n">
        <v>1.5</v>
      </c>
      <c r="L162" s="8"/>
      <c r="M162" s="8"/>
      <c r="N162" s="8" t="s">
        <v>790</v>
      </c>
    </row>
    <row r="163" customFormat="false" ht="15" hidden="false" customHeight="false" outlineLevel="0" collapsed="false">
      <c r="A163" s="8" t="n">
        <v>162</v>
      </c>
      <c r="B163" s="8" t="n">
        <v>4</v>
      </c>
      <c r="C163" s="8" t="s">
        <v>786</v>
      </c>
      <c r="D163" s="8" t="s">
        <v>411</v>
      </c>
      <c r="E163" s="8" t="s">
        <v>791</v>
      </c>
      <c r="F163" s="9" t="s">
        <v>408</v>
      </c>
      <c r="G163" s="9" t="n">
        <v>1</v>
      </c>
      <c r="H163" s="9" t="n">
        <v>3</v>
      </c>
      <c r="I163" s="8" t="s">
        <v>245</v>
      </c>
      <c r="J163" s="8" t="n">
        <v>8</v>
      </c>
      <c r="K163" s="8" t="n">
        <v>1.5</v>
      </c>
      <c r="L163" s="8"/>
      <c r="M163" s="8"/>
      <c r="N163" s="8" t="s">
        <v>792</v>
      </c>
    </row>
    <row r="164" customFormat="false" ht="15" hidden="false" customHeight="false" outlineLevel="0" collapsed="false">
      <c r="A164" s="8" t="n">
        <v>163</v>
      </c>
      <c r="B164" s="8" t="n">
        <v>4</v>
      </c>
      <c r="C164" s="8" t="s">
        <v>786</v>
      </c>
      <c r="D164" s="8" t="s">
        <v>413</v>
      </c>
      <c r="E164" s="8" t="s">
        <v>793</v>
      </c>
      <c r="F164" s="9" t="s">
        <v>408</v>
      </c>
      <c r="G164" s="9" t="n">
        <v>1</v>
      </c>
      <c r="H164" s="9" t="n">
        <v>3</v>
      </c>
      <c r="I164" s="8" t="s">
        <v>245</v>
      </c>
      <c r="J164" s="8" t="n">
        <v>11</v>
      </c>
      <c r="K164" s="8" t="n">
        <v>1.5</v>
      </c>
      <c r="L164" s="8"/>
      <c r="M164" s="8"/>
      <c r="N164" s="8" t="s">
        <v>794</v>
      </c>
    </row>
    <row r="165" customFormat="false" ht="15" hidden="false" customHeight="false" outlineLevel="0" collapsed="false">
      <c r="A165" s="8" t="n">
        <v>164</v>
      </c>
      <c r="B165" s="8" t="n">
        <v>4</v>
      </c>
      <c r="C165" s="8" t="s">
        <v>795</v>
      </c>
      <c r="D165" s="8" t="s">
        <v>420</v>
      </c>
      <c r="E165" s="8" t="s">
        <v>796</v>
      </c>
      <c r="F165" s="9" t="s">
        <v>408</v>
      </c>
      <c r="G165" s="9" t="n">
        <v>1</v>
      </c>
      <c r="H165" s="9" t="n">
        <v>3</v>
      </c>
      <c r="I165" s="8" t="s">
        <v>246</v>
      </c>
      <c r="J165" s="8" t="n">
        <v>5</v>
      </c>
      <c r="K165" s="8" t="n">
        <v>1.5</v>
      </c>
      <c r="L165" s="8"/>
      <c r="M165" s="8"/>
      <c r="N165" s="8" t="s">
        <v>797</v>
      </c>
    </row>
    <row r="166" customFormat="false" ht="15" hidden="false" customHeight="false" outlineLevel="0" collapsed="false">
      <c r="A166" s="8" t="n">
        <v>165</v>
      </c>
      <c r="B166" s="8" t="n">
        <v>4</v>
      </c>
      <c r="C166" s="8" t="s">
        <v>795</v>
      </c>
      <c r="D166" s="8" t="s">
        <v>422</v>
      </c>
      <c r="E166" s="8" t="s">
        <v>798</v>
      </c>
      <c r="F166" s="9" t="s">
        <v>408</v>
      </c>
      <c r="G166" s="9" t="n">
        <v>1</v>
      </c>
      <c r="H166" s="9" t="n">
        <v>3</v>
      </c>
      <c r="I166" s="8" t="s">
        <v>246</v>
      </c>
      <c r="J166" s="8" t="n">
        <v>6</v>
      </c>
      <c r="K166" s="8" t="n">
        <v>1.5</v>
      </c>
      <c r="L166" s="8"/>
      <c r="M166" s="8"/>
      <c r="N166" s="8" t="s">
        <v>799</v>
      </c>
    </row>
    <row r="167" customFormat="false" ht="15" hidden="false" customHeight="false" outlineLevel="0" collapsed="false">
      <c r="A167" s="8" t="n">
        <v>166</v>
      </c>
      <c r="B167" s="8" t="n">
        <v>4</v>
      </c>
      <c r="C167" s="8" t="s">
        <v>795</v>
      </c>
      <c r="D167" s="8" t="s">
        <v>800</v>
      </c>
      <c r="E167" s="8" t="s">
        <v>801</v>
      </c>
      <c r="F167" s="9" t="s">
        <v>408</v>
      </c>
      <c r="G167" s="9" t="n">
        <v>1</v>
      </c>
      <c r="H167" s="9" t="n">
        <v>3</v>
      </c>
      <c r="I167" s="8" t="s">
        <v>246</v>
      </c>
      <c r="J167" s="8" t="n">
        <v>10</v>
      </c>
      <c r="K167" s="8" t="n">
        <v>1.5</v>
      </c>
      <c r="L167" s="8"/>
      <c r="M167" s="8"/>
      <c r="N167" s="8" t="s">
        <v>802</v>
      </c>
    </row>
    <row r="168" customFormat="false" ht="15" hidden="false" customHeight="false" outlineLevel="0" collapsed="false">
      <c r="A168" s="8" t="n">
        <v>167</v>
      </c>
      <c r="B168" s="8" t="n">
        <v>4</v>
      </c>
      <c r="C168" s="8" t="s">
        <v>795</v>
      </c>
      <c r="D168" s="8" t="s">
        <v>803</v>
      </c>
      <c r="E168" s="8" t="s">
        <v>804</v>
      </c>
      <c r="F168" s="9" t="s">
        <v>408</v>
      </c>
      <c r="G168" s="9" t="n">
        <v>1</v>
      </c>
      <c r="H168" s="9" t="n">
        <v>3</v>
      </c>
      <c r="I168" s="8" t="s">
        <v>246</v>
      </c>
      <c r="J168" s="8" t="n">
        <v>23</v>
      </c>
      <c r="K168" s="8" t="n">
        <v>1.5</v>
      </c>
      <c r="L168" s="8"/>
      <c r="M168" s="8"/>
      <c r="N168" s="8" t="s">
        <v>805</v>
      </c>
    </row>
    <row r="169" customFormat="false" ht="15" hidden="false" customHeight="false" outlineLevel="0" collapsed="false">
      <c r="A169" s="8" t="n">
        <v>168</v>
      </c>
      <c r="B169" s="8" t="n">
        <v>4</v>
      </c>
      <c r="C169" s="8" t="s">
        <v>795</v>
      </c>
      <c r="D169" s="8" t="s">
        <v>806</v>
      </c>
      <c r="E169" s="8" t="s">
        <v>807</v>
      </c>
      <c r="F169" s="9" t="s">
        <v>408</v>
      </c>
      <c r="G169" s="9" t="n">
        <v>1</v>
      </c>
      <c r="H169" s="9" t="n">
        <v>3</v>
      </c>
      <c r="I169" s="8" t="s">
        <v>246</v>
      </c>
      <c r="J169" s="8" t="n">
        <v>32</v>
      </c>
      <c r="K169" s="8" t="n">
        <v>1.5</v>
      </c>
      <c r="L169" s="8"/>
      <c r="M169" s="8"/>
      <c r="N169" s="8" t="s">
        <v>808</v>
      </c>
    </row>
    <row r="170" customFormat="false" ht="15" hidden="false" customHeight="false" outlineLevel="0" collapsed="false">
      <c r="A170" s="8" t="n">
        <v>169</v>
      </c>
      <c r="B170" s="8" t="n">
        <v>4</v>
      </c>
      <c r="C170" s="8" t="s">
        <v>795</v>
      </c>
      <c r="D170" s="8" t="s">
        <v>809</v>
      </c>
      <c r="E170" s="8" t="s">
        <v>810</v>
      </c>
      <c r="F170" s="9" t="s">
        <v>408</v>
      </c>
      <c r="G170" s="9" t="n">
        <v>1</v>
      </c>
      <c r="H170" s="9" t="n">
        <v>3</v>
      </c>
      <c r="I170" s="8" t="s">
        <v>246</v>
      </c>
      <c r="J170" s="8" t="n">
        <v>33</v>
      </c>
      <c r="K170" s="8" t="n">
        <v>1.5</v>
      </c>
      <c r="L170" s="8"/>
      <c r="M170" s="8"/>
      <c r="N170" s="8" t="s">
        <v>811</v>
      </c>
    </row>
    <row r="171" customFormat="false" ht="15" hidden="false" customHeight="false" outlineLevel="0" collapsed="false">
      <c r="A171" s="8" t="n">
        <v>170</v>
      </c>
      <c r="B171" s="8" t="n">
        <v>4</v>
      </c>
      <c r="C171" s="8" t="s">
        <v>795</v>
      </c>
      <c r="D171" s="8" t="s">
        <v>424</v>
      </c>
      <c r="E171" s="8" t="s">
        <v>812</v>
      </c>
      <c r="F171" s="9" t="s">
        <v>408</v>
      </c>
      <c r="G171" s="9" t="n">
        <v>1</v>
      </c>
      <c r="H171" s="9" t="n">
        <v>3</v>
      </c>
      <c r="I171" s="8" t="s">
        <v>246</v>
      </c>
      <c r="J171" s="8" t="n">
        <v>38</v>
      </c>
      <c r="K171" s="8" t="n">
        <v>1.5</v>
      </c>
      <c r="L171" s="8"/>
      <c r="M171" s="8"/>
      <c r="N171" s="8" t="s">
        <v>813</v>
      </c>
    </row>
    <row r="172" customFormat="false" ht="15" hidden="false" customHeight="false" outlineLevel="0" collapsed="false">
      <c r="A172" s="8" t="n">
        <v>171</v>
      </c>
      <c r="B172" s="8" t="n">
        <v>4</v>
      </c>
      <c r="C172" s="8" t="s">
        <v>795</v>
      </c>
      <c r="D172" s="8" t="s">
        <v>814</v>
      </c>
      <c r="E172" s="8" t="s">
        <v>815</v>
      </c>
      <c r="F172" s="9" t="s">
        <v>408</v>
      </c>
      <c r="G172" s="9" t="n">
        <v>1</v>
      </c>
      <c r="H172" s="9" t="n">
        <v>3</v>
      </c>
      <c r="I172" s="8" t="s">
        <v>246</v>
      </c>
      <c r="J172" s="8" t="n">
        <v>46</v>
      </c>
      <c r="K172" s="8" t="n">
        <v>1.5</v>
      </c>
      <c r="L172" s="8"/>
      <c r="M172" s="8"/>
      <c r="N172" s="8" t="s">
        <v>816</v>
      </c>
    </row>
    <row r="173" customFormat="false" ht="15" hidden="false" customHeight="false" outlineLevel="0" collapsed="false">
      <c r="A173" s="8" t="n">
        <v>172</v>
      </c>
      <c r="B173" s="8" t="n">
        <v>4</v>
      </c>
      <c r="C173" s="8" t="s">
        <v>817</v>
      </c>
      <c r="D173" s="8" t="s">
        <v>435</v>
      </c>
      <c r="E173" s="8" t="s">
        <v>818</v>
      </c>
      <c r="F173" s="9" t="s">
        <v>408</v>
      </c>
      <c r="G173" s="9" t="n">
        <v>1</v>
      </c>
      <c r="H173" s="9" t="n">
        <v>3</v>
      </c>
      <c r="I173" s="8" t="s">
        <v>247</v>
      </c>
      <c r="J173" s="8" t="n">
        <v>7</v>
      </c>
      <c r="K173" s="8" t="n">
        <v>1.5</v>
      </c>
      <c r="L173" s="8"/>
      <c r="M173" s="8"/>
      <c r="N173" s="8" t="s">
        <v>819</v>
      </c>
    </row>
    <row r="174" customFormat="false" ht="15" hidden="false" customHeight="false" outlineLevel="0" collapsed="false">
      <c r="A174" s="8" t="n">
        <v>173</v>
      </c>
      <c r="B174" s="8" t="n">
        <v>4</v>
      </c>
      <c r="C174" s="8" t="s">
        <v>817</v>
      </c>
      <c r="D174" s="8" t="s">
        <v>437</v>
      </c>
      <c r="E174" s="8" t="s">
        <v>820</v>
      </c>
      <c r="F174" s="9" t="s">
        <v>408</v>
      </c>
      <c r="G174" s="9" t="n">
        <v>1</v>
      </c>
      <c r="H174" s="9" t="n">
        <v>3</v>
      </c>
      <c r="I174" s="8" t="s">
        <v>247</v>
      </c>
      <c r="J174" s="8" t="n">
        <v>9</v>
      </c>
      <c r="K174" s="8" t="n">
        <v>1.5</v>
      </c>
      <c r="L174" s="8"/>
      <c r="M174" s="8"/>
      <c r="N174" s="8" t="s">
        <v>821</v>
      </c>
    </row>
    <row r="175" customFormat="false" ht="15" hidden="false" customHeight="false" outlineLevel="0" collapsed="false">
      <c r="A175" s="8" t="n">
        <v>174</v>
      </c>
      <c r="B175" s="8" t="n">
        <v>4</v>
      </c>
      <c r="C175" s="8" t="s">
        <v>817</v>
      </c>
      <c r="D175" s="8" t="s">
        <v>439</v>
      </c>
      <c r="E175" s="8" t="s">
        <v>822</v>
      </c>
      <c r="F175" s="9" t="s">
        <v>408</v>
      </c>
      <c r="G175" s="9" t="n">
        <v>1</v>
      </c>
      <c r="H175" s="9" t="n">
        <v>3</v>
      </c>
      <c r="I175" s="8" t="s">
        <v>247</v>
      </c>
      <c r="J175" s="8" t="n">
        <v>17</v>
      </c>
      <c r="K175" s="8" t="n">
        <v>1.5</v>
      </c>
      <c r="L175" s="8"/>
      <c r="M175" s="8"/>
      <c r="N175" s="8" t="s">
        <v>823</v>
      </c>
    </row>
    <row r="176" customFormat="false" ht="15" hidden="false" customHeight="false" outlineLevel="0" collapsed="false">
      <c r="A176" s="8" t="n">
        <v>175</v>
      </c>
      <c r="B176" s="8" t="n">
        <v>4</v>
      </c>
      <c r="C176" s="8" t="s">
        <v>817</v>
      </c>
      <c r="D176" s="8" t="s">
        <v>441</v>
      </c>
      <c r="E176" s="8" t="s">
        <v>824</v>
      </c>
      <c r="F176" s="9" t="s">
        <v>408</v>
      </c>
      <c r="G176" s="9" t="n">
        <v>1</v>
      </c>
      <c r="H176" s="9" t="n">
        <v>3</v>
      </c>
      <c r="I176" s="8" t="s">
        <v>247</v>
      </c>
      <c r="J176" s="8" t="n">
        <v>25</v>
      </c>
      <c r="K176" s="8" t="n">
        <v>1.5</v>
      </c>
      <c r="L176" s="8"/>
      <c r="M176" s="8"/>
      <c r="N176" s="8" t="s">
        <v>825</v>
      </c>
    </row>
    <row r="177" customFormat="false" ht="15" hidden="false" customHeight="false" outlineLevel="0" collapsed="false">
      <c r="A177" s="8" t="n">
        <v>176</v>
      </c>
      <c r="B177" s="8" t="n">
        <v>4</v>
      </c>
      <c r="C177" s="8" t="s">
        <v>817</v>
      </c>
      <c r="D177" s="8" t="s">
        <v>443</v>
      </c>
      <c r="E177" s="8" t="s">
        <v>826</v>
      </c>
      <c r="F177" s="9" t="s">
        <v>408</v>
      </c>
      <c r="G177" s="9" t="n">
        <v>1</v>
      </c>
      <c r="H177" s="9" t="n">
        <v>3</v>
      </c>
      <c r="I177" s="8" t="s">
        <v>247</v>
      </c>
      <c r="J177" s="8" t="n">
        <v>37</v>
      </c>
      <c r="K177" s="8" t="n">
        <v>1.5</v>
      </c>
      <c r="L177" s="8"/>
      <c r="M177" s="8"/>
      <c r="N177" s="8" t="s">
        <v>827</v>
      </c>
    </row>
    <row r="178" customFormat="false" ht="15" hidden="false" customHeight="false" outlineLevel="0" collapsed="false">
      <c r="A178" s="8" t="n">
        <v>177</v>
      </c>
      <c r="B178" s="8" t="n">
        <v>4</v>
      </c>
      <c r="C178" s="8" t="s">
        <v>817</v>
      </c>
      <c r="D178" s="8" t="s">
        <v>583</v>
      </c>
      <c r="E178" s="8" t="s">
        <v>828</v>
      </c>
      <c r="F178" s="9" t="s">
        <v>408</v>
      </c>
      <c r="G178" s="9" t="n">
        <v>1</v>
      </c>
      <c r="H178" s="9" t="n">
        <v>3</v>
      </c>
      <c r="I178" s="8" t="s">
        <v>247</v>
      </c>
      <c r="J178" s="8" t="n">
        <v>64</v>
      </c>
      <c r="K178" s="8" t="n">
        <v>1.5</v>
      </c>
      <c r="L178" s="8"/>
      <c r="M178" s="8"/>
      <c r="N178" s="8" t="s">
        <v>829</v>
      </c>
    </row>
    <row r="179" customFormat="false" ht="15" hidden="false" customHeight="false" outlineLevel="0" collapsed="false">
      <c r="A179" s="8" t="n">
        <v>178</v>
      </c>
      <c r="B179" s="8" t="n">
        <v>4</v>
      </c>
      <c r="C179" s="8" t="s">
        <v>817</v>
      </c>
      <c r="D179" s="8" t="s">
        <v>586</v>
      </c>
      <c r="E179" s="8" t="s">
        <v>830</v>
      </c>
      <c r="F179" s="9" t="s">
        <v>408</v>
      </c>
      <c r="G179" s="9" t="n">
        <v>1</v>
      </c>
      <c r="H179" s="9" t="n">
        <v>3</v>
      </c>
      <c r="I179" s="8" t="s">
        <v>247</v>
      </c>
      <c r="J179" s="8" t="n">
        <v>79</v>
      </c>
      <c r="K179" s="8" t="n">
        <v>1.5</v>
      </c>
      <c r="L179" s="8"/>
      <c r="M179" s="8"/>
      <c r="N179" s="8" t="s">
        <v>831</v>
      </c>
    </row>
    <row r="180" customFormat="false" ht="15" hidden="false" customHeight="false" outlineLevel="0" collapsed="false">
      <c r="A180" s="8" t="n">
        <v>179</v>
      </c>
      <c r="B180" s="8" t="n">
        <v>4</v>
      </c>
      <c r="C180" s="8" t="s">
        <v>817</v>
      </c>
      <c r="D180" s="8" t="s">
        <v>832</v>
      </c>
      <c r="E180" s="8" t="s">
        <v>833</v>
      </c>
      <c r="F180" s="9" t="s">
        <v>408</v>
      </c>
      <c r="G180" s="9" t="n">
        <v>1</v>
      </c>
      <c r="H180" s="9" t="n">
        <v>3</v>
      </c>
      <c r="I180" s="8" t="s">
        <v>247</v>
      </c>
      <c r="J180" s="8" t="n">
        <v>88</v>
      </c>
      <c r="K180" s="8" t="n">
        <v>1.5</v>
      </c>
      <c r="L180" s="8"/>
      <c r="M180" s="8"/>
      <c r="N180" s="8" t="s">
        <v>834</v>
      </c>
    </row>
    <row r="181" customFormat="false" ht="15" hidden="false" customHeight="false" outlineLevel="0" collapsed="false">
      <c r="A181" s="8" t="n">
        <v>180</v>
      </c>
      <c r="B181" s="8" t="n">
        <v>4</v>
      </c>
      <c r="C181" s="8" t="s">
        <v>835</v>
      </c>
      <c r="D181" s="8" t="s">
        <v>446</v>
      </c>
      <c r="E181" s="8" t="s">
        <v>836</v>
      </c>
      <c r="F181" s="9" t="s">
        <v>408</v>
      </c>
      <c r="G181" s="9" t="n">
        <v>1</v>
      </c>
      <c r="H181" s="9" t="n">
        <v>3</v>
      </c>
      <c r="I181" s="8" t="s">
        <v>248</v>
      </c>
      <c r="J181" s="8" t="n">
        <v>7</v>
      </c>
      <c r="K181" s="8" t="n">
        <v>1.5</v>
      </c>
      <c r="L181" s="8"/>
      <c r="M181" s="8"/>
      <c r="N181" s="8" t="s">
        <v>837</v>
      </c>
    </row>
    <row r="182" customFormat="false" ht="15" hidden="false" customHeight="false" outlineLevel="0" collapsed="false">
      <c r="A182" s="8" t="n">
        <v>181</v>
      </c>
      <c r="B182" s="8" t="n">
        <v>4</v>
      </c>
      <c r="C182" s="8" t="s">
        <v>835</v>
      </c>
      <c r="D182" s="8" t="s">
        <v>448</v>
      </c>
      <c r="E182" s="8" t="s">
        <v>838</v>
      </c>
      <c r="F182" s="9" t="s">
        <v>408</v>
      </c>
      <c r="G182" s="9" t="n">
        <v>1</v>
      </c>
      <c r="H182" s="9" t="n">
        <v>3</v>
      </c>
      <c r="I182" s="8" t="s">
        <v>248</v>
      </c>
      <c r="J182" s="8" t="n">
        <v>12</v>
      </c>
      <c r="K182" s="8" t="n">
        <v>1.5</v>
      </c>
      <c r="L182" s="8"/>
      <c r="M182" s="8"/>
      <c r="N182" s="8" t="s">
        <v>839</v>
      </c>
    </row>
    <row r="183" customFormat="false" ht="15" hidden="false" customHeight="false" outlineLevel="0" collapsed="false">
      <c r="A183" s="8" t="n">
        <v>182</v>
      </c>
      <c r="B183" s="8" t="n">
        <v>4</v>
      </c>
      <c r="C183" s="8" t="s">
        <v>835</v>
      </c>
      <c r="D183" s="8" t="s">
        <v>450</v>
      </c>
      <c r="E183" s="8" t="s">
        <v>840</v>
      </c>
      <c r="F183" s="9" t="s">
        <v>408</v>
      </c>
      <c r="G183" s="9" t="n">
        <v>1</v>
      </c>
      <c r="H183" s="9" t="n">
        <v>3</v>
      </c>
      <c r="I183" s="8" t="s">
        <v>248</v>
      </c>
      <c r="J183" s="8" t="n">
        <v>25</v>
      </c>
      <c r="K183" s="8" t="n">
        <v>1.5</v>
      </c>
      <c r="L183" s="8"/>
      <c r="M183" s="8"/>
      <c r="N183" s="8" t="s">
        <v>841</v>
      </c>
    </row>
    <row r="184" customFormat="false" ht="15" hidden="false" customHeight="false" outlineLevel="0" collapsed="false">
      <c r="A184" s="8" t="n">
        <v>183</v>
      </c>
      <c r="B184" s="8" t="n">
        <v>4</v>
      </c>
      <c r="C184" s="8" t="s">
        <v>835</v>
      </c>
      <c r="D184" s="8" t="s">
        <v>452</v>
      </c>
      <c r="E184" s="8" t="s">
        <v>842</v>
      </c>
      <c r="F184" s="9" t="s">
        <v>408</v>
      </c>
      <c r="G184" s="9" t="n">
        <v>1</v>
      </c>
      <c r="H184" s="9" t="n">
        <v>3</v>
      </c>
      <c r="I184" s="8" t="s">
        <v>248</v>
      </c>
      <c r="J184" s="8" t="n">
        <v>40</v>
      </c>
      <c r="K184" s="8" t="n">
        <v>1.5</v>
      </c>
      <c r="L184" s="8"/>
      <c r="M184" s="8"/>
      <c r="N184" s="8" t="s">
        <v>843</v>
      </c>
    </row>
    <row r="185" customFormat="false" ht="15" hidden="false" customHeight="false" outlineLevel="0" collapsed="false">
      <c r="A185" s="8" t="n">
        <v>184</v>
      </c>
      <c r="B185" s="8" t="n">
        <v>4</v>
      </c>
      <c r="C185" s="8" t="s">
        <v>835</v>
      </c>
      <c r="D185" s="8" t="s">
        <v>454</v>
      </c>
      <c r="E185" s="8" t="s">
        <v>844</v>
      </c>
      <c r="F185" s="9" t="s">
        <v>408</v>
      </c>
      <c r="G185" s="9" t="n">
        <v>1</v>
      </c>
      <c r="H185" s="9" t="n">
        <v>3</v>
      </c>
      <c r="I185" s="8" t="s">
        <v>248</v>
      </c>
      <c r="J185" s="8" t="n">
        <v>47</v>
      </c>
      <c r="K185" s="8" t="n">
        <v>1.5</v>
      </c>
      <c r="L185" s="8"/>
      <c r="M185" s="8"/>
      <c r="N185" s="8" t="s">
        <v>845</v>
      </c>
    </row>
    <row r="186" customFormat="false" ht="15" hidden="false" customHeight="false" outlineLevel="0" collapsed="false">
      <c r="A186" s="8" t="n">
        <v>185</v>
      </c>
      <c r="B186" s="8" t="n">
        <v>4</v>
      </c>
      <c r="C186" s="8" t="s">
        <v>835</v>
      </c>
      <c r="D186" s="8" t="s">
        <v>456</v>
      </c>
      <c r="E186" s="8" t="s">
        <v>846</v>
      </c>
      <c r="F186" s="9" t="s">
        <v>408</v>
      </c>
      <c r="G186" s="9" t="n">
        <v>1</v>
      </c>
      <c r="H186" s="9" t="n">
        <v>3</v>
      </c>
      <c r="I186" s="8" t="s">
        <v>248</v>
      </c>
      <c r="J186" s="8" t="n">
        <v>49</v>
      </c>
      <c r="K186" s="8" t="n">
        <v>1.5</v>
      </c>
      <c r="L186" s="8"/>
      <c r="M186" s="8"/>
      <c r="N186" s="8" t="s">
        <v>847</v>
      </c>
    </row>
    <row r="187" customFormat="false" ht="15" hidden="false" customHeight="false" outlineLevel="0" collapsed="false">
      <c r="A187" s="8" t="n">
        <v>186</v>
      </c>
      <c r="B187" s="8" t="n">
        <v>4</v>
      </c>
      <c r="C187" s="8" t="s">
        <v>835</v>
      </c>
      <c r="D187" s="8" t="s">
        <v>848</v>
      </c>
      <c r="E187" s="8" t="s">
        <v>849</v>
      </c>
      <c r="F187" s="9" t="s">
        <v>408</v>
      </c>
      <c r="G187" s="9" t="n">
        <v>1</v>
      </c>
      <c r="H187" s="9" t="n">
        <v>3</v>
      </c>
      <c r="I187" s="8" t="s">
        <v>248</v>
      </c>
      <c r="J187" s="8" t="n">
        <v>54</v>
      </c>
      <c r="K187" s="8" t="n">
        <v>1.5</v>
      </c>
      <c r="L187" s="8"/>
      <c r="M187" s="8"/>
      <c r="N187" s="8" t="s">
        <v>850</v>
      </c>
    </row>
    <row r="188" customFormat="false" ht="15" hidden="false" customHeight="false" outlineLevel="0" collapsed="false">
      <c r="A188" s="8" t="n">
        <v>187</v>
      </c>
      <c r="B188" s="8" t="n">
        <v>4</v>
      </c>
      <c r="C188" s="8" t="s">
        <v>835</v>
      </c>
      <c r="D188" s="8" t="s">
        <v>851</v>
      </c>
      <c r="E188" s="8" t="s">
        <v>852</v>
      </c>
      <c r="F188" s="9" t="s">
        <v>408</v>
      </c>
      <c r="G188" s="9" t="n">
        <v>1</v>
      </c>
      <c r="H188" s="9" t="n">
        <v>3</v>
      </c>
      <c r="I188" s="8" t="s">
        <v>248</v>
      </c>
      <c r="J188" s="8" t="n">
        <v>61</v>
      </c>
      <c r="K188" s="8" t="n">
        <v>1.5</v>
      </c>
      <c r="L188" s="8"/>
      <c r="M188" s="8"/>
      <c r="N188" s="8" t="s">
        <v>853</v>
      </c>
    </row>
    <row r="189" customFormat="false" ht="15" hidden="false" customHeight="false" outlineLevel="0" collapsed="false">
      <c r="A189" s="8" t="n">
        <v>188</v>
      </c>
      <c r="B189" s="8" t="n">
        <v>4</v>
      </c>
      <c r="C189" s="8" t="s">
        <v>835</v>
      </c>
      <c r="D189" s="8" t="s">
        <v>854</v>
      </c>
      <c r="E189" s="8" t="s">
        <v>855</v>
      </c>
      <c r="F189" s="9" t="s">
        <v>408</v>
      </c>
      <c r="G189" s="9" t="n">
        <v>1</v>
      </c>
      <c r="H189" s="9" t="n">
        <v>3</v>
      </c>
      <c r="I189" s="8" t="s">
        <v>248</v>
      </c>
      <c r="J189" s="8" t="n">
        <v>68</v>
      </c>
      <c r="K189" s="8" t="n">
        <v>1.5</v>
      </c>
      <c r="L189" s="8"/>
      <c r="M189" s="8"/>
      <c r="N189" s="8" t="s">
        <v>856</v>
      </c>
    </row>
    <row r="190" customFormat="false" ht="15" hidden="false" customHeight="false" outlineLevel="0" collapsed="false">
      <c r="A190" s="8" t="n">
        <v>189</v>
      </c>
      <c r="B190" s="8" t="n">
        <v>4</v>
      </c>
      <c r="C190" s="8" t="s">
        <v>857</v>
      </c>
      <c r="D190" s="8" t="s">
        <v>461</v>
      </c>
      <c r="E190" s="8" t="s">
        <v>858</v>
      </c>
      <c r="F190" s="9" t="s">
        <v>408</v>
      </c>
      <c r="G190" s="9" t="n">
        <v>1</v>
      </c>
      <c r="H190" s="9" t="n">
        <v>3</v>
      </c>
      <c r="I190" s="8" t="s">
        <v>249</v>
      </c>
      <c r="J190" s="8" t="n">
        <v>8</v>
      </c>
      <c r="K190" s="8" t="n">
        <v>1.5</v>
      </c>
      <c r="L190" s="8"/>
      <c r="M190" s="8"/>
      <c r="N190" s="8" t="s">
        <v>859</v>
      </c>
    </row>
    <row r="191" customFormat="false" ht="15" hidden="false" customHeight="false" outlineLevel="0" collapsed="false">
      <c r="A191" s="8" t="n">
        <v>190</v>
      </c>
      <c r="B191" s="8" t="n">
        <v>4</v>
      </c>
      <c r="C191" s="8" t="s">
        <v>857</v>
      </c>
      <c r="D191" s="8" t="s">
        <v>465</v>
      </c>
      <c r="E191" s="8" t="s">
        <v>860</v>
      </c>
      <c r="F191" s="9" t="s">
        <v>408</v>
      </c>
      <c r="G191" s="9" t="n">
        <v>1</v>
      </c>
      <c r="H191" s="9" t="n">
        <v>3</v>
      </c>
      <c r="I191" s="8" t="s">
        <v>249</v>
      </c>
      <c r="J191" s="8" t="n">
        <v>12</v>
      </c>
      <c r="K191" s="8" t="n">
        <v>1.5</v>
      </c>
      <c r="L191" s="8"/>
      <c r="M191" s="8"/>
      <c r="N191" s="8" t="s">
        <v>861</v>
      </c>
    </row>
    <row r="192" customFormat="false" ht="15" hidden="false" customHeight="false" outlineLevel="0" collapsed="false">
      <c r="A192" s="8" t="n">
        <v>191</v>
      </c>
      <c r="B192" s="8" t="n">
        <v>4</v>
      </c>
      <c r="C192" s="8" t="s">
        <v>857</v>
      </c>
      <c r="D192" s="8" t="s">
        <v>608</v>
      </c>
      <c r="E192" s="8" t="s">
        <v>862</v>
      </c>
      <c r="F192" s="9" t="s">
        <v>408</v>
      </c>
      <c r="G192" s="9" t="n">
        <v>1</v>
      </c>
      <c r="H192" s="9" t="n">
        <v>3</v>
      </c>
      <c r="I192" s="8" t="s">
        <v>249</v>
      </c>
      <c r="J192" s="8" t="n">
        <v>15</v>
      </c>
      <c r="K192" s="8" t="n">
        <v>1.5</v>
      </c>
      <c r="L192" s="8"/>
      <c r="M192" s="8"/>
      <c r="N192" s="8" t="s">
        <v>863</v>
      </c>
    </row>
    <row r="193" customFormat="false" ht="15" hidden="false" customHeight="false" outlineLevel="0" collapsed="false">
      <c r="A193" s="8" t="n">
        <v>192</v>
      </c>
      <c r="B193" s="8" t="n">
        <v>4</v>
      </c>
      <c r="C193" s="8" t="s">
        <v>857</v>
      </c>
      <c r="D193" s="8" t="s">
        <v>614</v>
      </c>
      <c r="E193" s="8" t="s">
        <v>864</v>
      </c>
      <c r="F193" s="9" t="s">
        <v>408</v>
      </c>
      <c r="G193" s="9" t="n">
        <v>1</v>
      </c>
      <c r="H193" s="9" t="n">
        <v>3</v>
      </c>
      <c r="I193" s="8" t="s">
        <v>249</v>
      </c>
      <c r="J193" s="8" t="n">
        <v>22</v>
      </c>
      <c r="K193" s="8" t="n">
        <v>1.5</v>
      </c>
      <c r="L193" s="8"/>
      <c r="M193" s="8"/>
      <c r="N193" s="8" t="s">
        <v>865</v>
      </c>
    </row>
    <row r="194" customFormat="false" ht="15" hidden="false" customHeight="false" outlineLevel="0" collapsed="false">
      <c r="A194" s="8" t="n">
        <v>193</v>
      </c>
      <c r="B194" s="8" t="n">
        <v>4</v>
      </c>
      <c r="C194" s="8" t="s">
        <v>857</v>
      </c>
      <c r="D194" s="8" t="s">
        <v>866</v>
      </c>
      <c r="E194" s="8" t="s">
        <v>867</v>
      </c>
      <c r="F194" s="9" t="s">
        <v>408</v>
      </c>
      <c r="G194" s="9" t="n">
        <v>1</v>
      </c>
      <c r="H194" s="9" t="n">
        <v>3</v>
      </c>
      <c r="I194" s="8" t="s">
        <v>249</v>
      </c>
      <c r="J194" s="8" t="n">
        <v>28</v>
      </c>
      <c r="K194" s="8" t="n">
        <v>1.5</v>
      </c>
      <c r="L194" s="8"/>
      <c r="M194" s="8"/>
      <c r="N194" s="8" t="s">
        <v>868</v>
      </c>
    </row>
    <row r="195" customFormat="false" ht="15" hidden="false" customHeight="false" outlineLevel="0" collapsed="false">
      <c r="A195" s="8" t="n">
        <v>194</v>
      </c>
      <c r="B195" s="8" t="n">
        <v>4</v>
      </c>
      <c r="C195" s="8" t="s">
        <v>857</v>
      </c>
      <c r="D195" s="8" t="s">
        <v>869</v>
      </c>
      <c r="E195" s="8" t="s">
        <v>870</v>
      </c>
      <c r="F195" s="9" t="s">
        <v>408</v>
      </c>
      <c r="G195" s="9" t="n">
        <v>1</v>
      </c>
      <c r="H195" s="9" t="n">
        <v>3</v>
      </c>
      <c r="I195" s="8" t="s">
        <v>249</v>
      </c>
      <c r="J195" s="8" t="n">
        <v>36</v>
      </c>
      <c r="K195" s="8" t="n">
        <v>1.5</v>
      </c>
      <c r="L195" s="8"/>
      <c r="M195" s="8"/>
      <c r="N195" s="8" t="s">
        <v>871</v>
      </c>
    </row>
    <row r="196" customFormat="false" ht="15" hidden="false" customHeight="false" outlineLevel="0" collapsed="false">
      <c r="A196" s="8" t="n">
        <v>195</v>
      </c>
      <c r="B196" s="8" t="n">
        <v>4</v>
      </c>
      <c r="C196" s="8" t="s">
        <v>857</v>
      </c>
      <c r="D196" s="8" t="s">
        <v>872</v>
      </c>
      <c r="E196" s="8" t="s">
        <v>873</v>
      </c>
      <c r="F196" s="9" t="s">
        <v>408</v>
      </c>
      <c r="G196" s="9" t="n">
        <v>1</v>
      </c>
      <c r="H196" s="9" t="n">
        <v>3</v>
      </c>
      <c r="I196" s="8" t="s">
        <v>249</v>
      </c>
      <c r="J196" s="8" t="n">
        <v>41</v>
      </c>
      <c r="K196" s="8" t="n">
        <v>1.5</v>
      </c>
      <c r="L196" s="8"/>
      <c r="M196" s="8"/>
      <c r="N196" s="8" t="s">
        <v>874</v>
      </c>
    </row>
    <row r="197" customFormat="false" ht="15" hidden="false" customHeight="false" outlineLevel="0" collapsed="false">
      <c r="A197" s="8" t="n">
        <v>196</v>
      </c>
      <c r="B197" s="8" t="n">
        <v>4</v>
      </c>
      <c r="C197" s="8" t="s">
        <v>875</v>
      </c>
      <c r="D197" s="8" t="s">
        <v>470</v>
      </c>
      <c r="E197" s="8" t="s">
        <v>876</v>
      </c>
      <c r="F197" s="9" t="s">
        <v>408</v>
      </c>
      <c r="G197" s="9" t="n">
        <v>1</v>
      </c>
      <c r="H197" s="9" t="n">
        <v>3</v>
      </c>
      <c r="I197" s="8" t="s">
        <v>250</v>
      </c>
      <c r="J197" s="8" t="n">
        <v>5</v>
      </c>
      <c r="K197" s="8" t="n">
        <v>1.5</v>
      </c>
      <c r="L197" s="8"/>
      <c r="M197" s="8"/>
      <c r="N197" s="8" t="s">
        <v>877</v>
      </c>
    </row>
    <row r="198" customFormat="false" ht="15" hidden="false" customHeight="false" outlineLevel="0" collapsed="false">
      <c r="A198" s="8" t="n">
        <v>197</v>
      </c>
      <c r="B198" s="8" t="n">
        <v>4</v>
      </c>
      <c r="C198" s="8" t="s">
        <v>875</v>
      </c>
      <c r="D198" s="8" t="s">
        <v>474</v>
      </c>
      <c r="E198" s="8" t="s">
        <v>878</v>
      </c>
      <c r="F198" s="9" t="s">
        <v>408</v>
      </c>
      <c r="G198" s="9" t="n">
        <v>1</v>
      </c>
      <c r="H198" s="9" t="n">
        <v>3</v>
      </c>
      <c r="I198" s="8" t="s">
        <v>250</v>
      </c>
      <c r="J198" s="8" t="n">
        <v>13</v>
      </c>
      <c r="K198" s="8" t="n">
        <v>1.5</v>
      </c>
      <c r="L198" s="8"/>
      <c r="M198" s="8"/>
      <c r="N198" s="8" t="s">
        <v>879</v>
      </c>
    </row>
    <row r="199" customFormat="false" ht="15" hidden="false" customHeight="false" outlineLevel="0" collapsed="false">
      <c r="A199" s="8" t="n">
        <v>198</v>
      </c>
      <c r="B199" s="8" t="n">
        <v>4</v>
      </c>
      <c r="C199" s="8" t="s">
        <v>875</v>
      </c>
      <c r="D199" s="8" t="s">
        <v>476</v>
      </c>
      <c r="E199" s="8" t="s">
        <v>880</v>
      </c>
      <c r="F199" s="9" t="s">
        <v>408</v>
      </c>
      <c r="G199" s="9" t="n">
        <v>1</v>
      </c>
      <c r="H199" s="9" t="n">
        <v>3</v>
      </c>
      <c r="I199" s="8" t="s">
        <v>250</v>
      </c>
      <c r="J199" s="8" t="n">
        <v>16</v>
      </c>
      <c r="K199" s="8" t="n">
        <v>1.5</v>
      </c>
      <c r="L199" s="8"/>
      <c r="M199" s="8"/>
      <c r="N199" s="8" t="s">
        <v>881</v>
      </c>
    </row>
    <row r="200" customFormat="false" ht="15" hidden="false" customHeight="false" outlineLevel="0" collapsed="false">
      <c r="A200" s="8" t="n">
        <v>199</v>
      </c>
      <c r="B200" s="8" t="n">
        <v>4</v>
      </c>
      <c r="C200" s="8" t="s">
        <v>875</v>
      </c>
      <c r="D200" s="8" t="s">
        <v>478</v>
      </c>
      <c r="E200" s="8" t="s">
        <v>882</v>
      </c>
      <c r="F200" s="9" t="s">
        <v>408</v>
      </c>
      <c r="G200" s="9" t="n">
        <v>1</v>
      </c>
      <c r="H200" s="9" t="n">
        <v>3</v>
      </c>
      <c r="I200" s="8" t="s">
        <v>250</v>
      </c>
      <c r="J200" s="8" t="n">
        <v>18</v>
      </c>
      <c r="K200" s="8" t="n">
        <v>1.5</v>
      </c>
      <c r="L200" s="8"/>
      <c r="M200" s="8"/>
      <c r="N200" s="8" t="s">
        <v>883</v>
      </c>
    </row>
    <row r="201" customFormat="false" ht="15" hidden="false" customHeight="false" outlineLevel="0" collapsed="false">
      <c r="A201" s="8" t="n">
        <v>200</v>
      </c>
      <c r="B201" s="8" t="n">
        <v>4</v>
      </c>
      <c r="C201" s="8" t="s">
        <v>875</v>
      </c>
      <c r="D201" s="8" t="s">
        <v>482</v>
      </c>
      <c r="E201" s="8" t="s">
        <v>884</v>
      </c>
      <c r="F201" s="9" t="s">
        <v>408</v>
      </c>
      <c r="G201" s="9" t="n">
        <v>1</v>
      </c>
      <c r="H201" s="9" t="n">
        <v>3</v>
      </c>
      <c r="I201" s="8" t="s">
        <v>250</v>
      </c>
      <c r="J201" s="8" t="n">
        <v>26</v>
      </c>
      <c r="K201" s="8" t="n">
        <v>1.5</v>
      </c>
      <c r="L201" s="8"/>
      <c r="M201" s="8"/>
      <c r="N201" s="8" t="s">
        <v>885</v>
      </c>
    </row>
    <row r="202" customFormat="false" ht="15" hidden="false" customHeight="false" outlineLevel="0" collapsed="false">
      <c r="A202" s="8" t="n">
        <v>201</v>
      </c>
      <c r="B202" s="8" t="n">
        <v>4</v>
      </c>
      <c r="C202" s="8" t="s">
        <v>875</v>
      </c>
      <c r="D202" s="8" t="s">
        <v>484</v>
      </c>
      <c r="E202" s="8" t="s">
        <v>886</v>
      </c>
      <c r="F202" s="9" t="s">
        <v>408</v>
      </c>
      <c r="G202" s="9" t="n">
        <v>1</v>
      </c>
      <c r="H202" s="9" t="n">
        <v>3</v>
      </c>
      <c r="I202" s="8" t="s">
        <v>250</v>
      </c>
      <c r="J202" s="8" t="n">
        <v>28</v>
      </c>
      <c r="K202" s="8" t="n">
        <v>1.5</v>
      </c>
      <c r="L202" s="8"/>
      <c r="M202" s="8"/>
      <c r="N202" s="8" t="s">
        <v>887</v>
      </c>
    </row>
    <row r="203" customFormat="false" ht="15" hidden="false" customHeight="false" outlineLevel="0" collapsed="false">
      <c r="A203" s="8" t="n">
        <v>202</v>
      </c>
      <c r="B203" s="8" t="n">
        <v>4</v>
      </c>
      <c r="C203" s="8" t="s">
        <v>875</v>
      </c>
      <c r="D203" s="8" t="s">
        <v>486</v>
      </c>
      <c r="E203" s="8" t="s">
        <v>888</v>
      </c>
      <c r="F203" s="9" t="s">
        <v>408</v>
      </c>
      <c r="G203" s="9" t="n">
        <v>1</v>
      </c>
      <c r="H203" s="9" t="n">
        <v>3</v>
      </c>
      <c r="I203" s="8" t="s">
        <v>250</v>
      </c>
      <c r="J203" s="8" t="n">
        <v>32</v>
      </c>
      <c r="K203" s="8" t="n">
        <v>1.5</v>
      </c>
      <c r="L203" s="8"/>
      <c r="M203" s="8"/>
      <c r="N203" s="8" t="s">
        <v>889</v>
      </c>
    </row>
    <row r="204" customFormat="false" ht="15" hidden="false" customHeight="false" outlineLevel="0" collapsed="false">
      <c r="A204" s="8" t="n">
        <v>203</v>
      </c>
      <c r="B204" s="8" t="n">
        <v>5</v>
      </c>
      <c r="C204" s="8" t="s">
        <v>299</v>
      </c>
      <c r="D204" s="8" t="s">
        <v>406</v>
      </c>
      <c r="E204" s="8" t="s">
        <v>890</v>
      </c>
      <c r="F204" s="9" t="s">
        <v>408</v>
      </c>
      <c r="G204" s="9" t="n">
        <v>1</v>
      </c>
      <c r="H204" s="9" t="n">
        <v>3</v>
      </c>
      <c r="I204" s="8" t="s">
        <v>300</v>
      </c>
      <c r="J204" s="8"/>
      <c r="K204" s="8" t="n">
        <v>1.5</v>
      </c>
      <c r="L204" s="8"/>
      <c r="M204" s="8"/>
      <c r="N204" s="8"/>
    </row>
    <row r="205" customFormat="false" ht="15" hidden="false" customHeight="false" outlineLevel="0" collapsed="false">
      <c r="A205" s="8" t="n">
        <v>204</v>
      </c>
      <c r="B205" s="8" t="n">
        <v>5</v>
      </c>
      <c r="C205" s="8" t="s">
        <v>299</v>
      </c>
      <c r="D205" s="8" t="s">
        <v>409</v>
      </c>
      <c r="E205" s="8" t="s">
        <v>891</v>
      </c>
      <c r="F205" s="9" t="s">
        <v>408</v>
      </c>
      <c r="G205" s="9" t="n">
        <v>1</v>
      </c>
      <c r="H205" s="9" t="n">
        <v>3</v>
      </c>
      <c r="I205" s="8" t="s">
        <v>300</v>
      </c>
      <c r="J205" s="8"/>
      <c r="K205" s="8" t="n">
        <v>1.5</v>
      </c>
      <c r="L205" s="8"/>
      <c r="M205" s="8"/>
      <c r="N205" s="8"/>
    </row>
    <row r="206" customFormat="false" ht="15" hidden="false" customHeight="false" outlineLevel="0" collapsed="false">
      <c r="A206" s="8" t="n">
        <v>205</v>
      </c>
      <c r="B206" s="8" t="n">
        <v>5</v>
      </c>
      <c r="C206" s="8" t="s">
        <v>299</v>
      </c>
      <c r="D206" s="8" t="s">
        <v>411</v>
      </c>
      <c r="E206" s="8" t="s">
        <v>892</v>
      </c>
      <c r="F206" s="9" t="s">
        <v>408</v>
      </c>
      <c r="G206" s="9" t="n">
        <v>1</v>
      </c>
      <c r="H206" s="9" t="n">
        <v>3</v>
      </c>
      <c r="I206" s="8" t="s">
        <v>300</v>
      </c>
      <c r="J206" s="8"/>
      <c r="K206" s="8" t="n">
        <v>1.5</v>
      </c>
      <c r="L206" s="8"/>
      <c r="M206" s="8"/>
      <c r="N206" s="8"/>
    </row>
    <row r="207" customFormat="false" ht="15" hidden="false" customHeight="false" outlineLevel="0" collapsed="false">
      <c r="A207" s="8" t="n">
        <v>206</v>
      </c>
      <c r="B207" s="8" t="n">
        <v>5</v>
      </c>
      <c r="C207" s="8" t="s">
        <v>301</v>
      </c>
      <c r="D207" s="8" t="s">
        <v>420</v>
      </c>
      <c r="E207" s="8" t="s">
        <v>893</v>
      </c>
      <c r="F207" s="9" t="s">
        <v>408</v>
      </c>
      <c r="G207" s="9" t="n">
        <v>1</v>
      </c>
      <c r="H207" s="9" t="n">
        <v>3</v>
      </c>
      <c r="I207" s="8" t="s">
        <v>302</v>
      </c>
      <c r="J207" s="8"/>
      <c r="K207" s="8" t="n">
        <v>1.5</v>
      </c>
      <c r="L207" s="8"/>
      <c r="M207" s="8"/>
      <c r="N207" s="8"/>
    </row>
    <row r="208" customFormat="false" ht="15" hidden="false" customHeight="false" outlineLevel="0" collapsed="false">
      <c r="A208" s="8" t="n">
        <v>207</v>
      </c>
      <c r="B208" s="8" t="n">
        <v>5</v>
      </c>
      <c r="C208" s="8" t="s">
        <v>301</v>
      </c>
      <c r="D208" s="8" t="s">
        <v>422</v>
      </c>
      <c r="E208" s="8" t="s">
        <v>894</v>
      </c>
      <c r="F208" s="9" t="s">
        <v>408</v>
      </c>
      <c r="G208" s="9" t="n">
        <v>1</v>
      </c>
      <c r="H208" s="9" t="n">
        <v>3</v>
      </c>
      <c r="I208" s="8" t="s">
        <v>302</v>
      </c>
      <c r="J208" s="8"/>
      <c r="K208" s="8" t="n">
        <v>1.5</v>
      </c>
      <c r="L208" s="8"/>
      <c r="M208" s="8"/>
      <c r="N208" s="8"/>
    </row>
    <row r="209" customFormat="false" ht="15" hidden="false" customHeight="false" outlineLevel="0" collapsed="false">
      <c r="A209" s="8" t="n">
        <v>208</v>
      </c>
      <c r="B209" s="8" t="n">
        <v>5</v>
      </c>
      <c r="C209" s="8" t="s">
        <v>301</v>
      </c>
      <c r="D209" s="8" t="s">
        <v>424</v>
      </c>
      <c r="E209" s="8" t="s">
        <v>895</v>
      </c>
      <c r="F209" s="9" t="s">
        <v>408</v>
      </c>
      <c r="G209" s="9" t="n">
        <v>1</v>
      </c>
      <c r="H209" s="9" t="n">
        <v>3</v>
      </c>
      <c r="I209" s="8" t="s">
        <v>302</v>
      </c>
      <c r="J209" s="8"/>
      <c r="K209" s="8" t="n">
        <v>1.5</v>
      </c>
      <c r="L209" s="8"/>
      <c r="M209" s="8"/>
      <c r="N209" s="8"/>
    </row>
    <row r="210" customFormat="false" ht="15" hidden="false" customHeight="false" outlineLevel="0" collapsed="false">
      <c r="A210" s="8" t="n">
        <v>209</v>
      </c>
      <c r="B210" s="8" t="n">
        <v>5</v>
      </c>
      <c r="C210" s="8" t="s">
        <v>303</v>
      </c>
      <c r="D210" s="8" t="s">
        <v>435</v>
      </c>
      <c r="E210" s="8" t="s">
        <v>896</v>
      </c>
      <c r="F210" s="9" t="s">
        <v>408</v>
      </c>
      <c r="G210" s="9" t="n">
        <v>1</v>
      </c>
      <c r="H210" s="9" t="n">
        <v>3</v>
      </c>
      <c r="I210" s="8" t="s">
        <v>304</v>
      </c>
      <c r="J210" s="8"/>
      <c r="K210" s="8" t="n">
        <v>1.5</v>
      </c>
      <c r="L210" s="8"/>
      <c r="M210" s="8"/>
      <c r="N210" s="8"/>
    </row>
    <row r="211" customFormat="false" ht="15" hidden="false" customHeight="false" outlineLevel="0" collapsed="false">
      <c r="A211" s="8" t="n">
        <v>210</v>
      </c>
      <c r="B211" s="8" t="n">
        <v>5</v>
      </c>
      <c r="C211" s="8" t="s">
        <v>303</v>
      </c>
      <c r="D211" s="8" t="s">
        <v>439</v>
      </c>
      <c r="E211" s="8" t="s">
        <v>897</v>
      </c>
      <c r="F211" s="9" t="s">
        <v>408</v>
      </c>
      <c r="G211" s="9" t="n">
        <v>1</v>
      </c>
      <c r="H211" s="9" t="n">
        <v>3</v>
      </c>
      <c r="I211" s="8" t="s">
        <v>304</v>
      </c>
      <c r="J211" s="8"/>
      <c r="K211" s="8" t="n">
        <v>1.5</v>
      </c>
      <c r="L211" s="8"/>
      <c r="M211" s="8"/>
      <c r="N211" s="8"/>
    </row>
    <row r="212" customFormat="false" ht="15" hidden="false" customHeight="false" outlineLevel="0" collapsed="false">
      <c r="A212" s="8" t="n">
        <v>211</v>
      </c>
      <c r="B212" s="8" t="n">
        <v>5</v>
      </c>
      <c r="C212" s="8" t="s">
        <v>303</v>
      </c>
      <c r="D212" s="8" t="s">
        <v>441</v>
      </c>
      <c r="E212" s="8" t="s">
        <v>898</v>
      </c>
      <c r="F212" s="9" t="s">
        <v>408</v>
      </c>
      <c r="G212" s="9" t="n">
        <v>1</v>
      </c>
      <c r="H212" s="9" t="n">
        <v>3</v>
      </c>
      <c r="I212" s="8" t="s">
        <v>304</v>
      </c>
      <c r="J212" s="8"/>
      <c r="K212" s="8" t="n">
        <v>1.5</v>
      </c>
      <c r="L212" s="8"/>
      <c r="M212" s="8"/>
      <c r="N212" s="8"/>
    </row>
    <row r="213" customFormat="false" ht="15" hidden="false" customHeight="false" outlineLevel="0" collapsed="false">
      <c r="A213" s="8" t="n">
        <v>212</v>
      </c>
      <c r="B213" s="8" t="n">
        <v>5</v>
      </c>
      <c r="C213" s="8" t="s">
        <v>303</v>
      </c>
      <c r="D213" s="8" t="s">
        <v>443</v>
      </c>
      <c r="E213" s="8" t="s">
        <v>899</v>
      </c>
      <c r="F213" s="9" t="s">
        <v>408</v>
      </c>
      <c r="G213" s="9" t="n">
        <v>1</v>
      </c>
      <c r="H213" s="9" t="n">
        <v>3</v>
      </c>
      <c r="I213" s="8" t="s">
        <v>304</v>
      </c>
      <c r="J213" s="8"/>
      <c r="K213" s="8" t="n">
        <v>1.5</v>
      </c>
      <c r="L213" s="8"/>
      <c r="M213" s="8"/>
      <c r="N213" s="8"/>
    </row>
    <row r="214" customFormat="false" ht="15" hidden="false" customHeight="false" outlineLevel="0" collapsed="false">
      <c r="A214" s="8" t="n">
        <v>213</v>
      </c>
      <c r="B214" s="8" t="n">
        <v>5</v>
      </c>
      <c r="C214" s="8" t="s">
        <v>303</v>
      </c>
      <c r="D214" s="8" t="s">
        <v>583</v>
      </c>
      <c r="E214" s="8" t="s">
        <v>900</v>
      </c>
      <c r="F214" s="9" t="s">
        <v>408</v>
      </c>
      <c r="G214" s="9" t="n">
        <v>1</v>
      </c>
      <c r="H214" s="9" t="n">
        <v>3</v>
      </c>
      <c r="I214" s="8" t="s">
        <v>304</v>
      </c>
      <c r="J214" s="8"/>
      <c r="K214" s="8" t="n">
        <v>1.5</v>
      </c>
      <c r="L214" s="8"/>
      <c r="M214" s="8"/>
      <c r="N214" s="8"/>
    </row>
    <row r="215" customFormat="false" ht="15" hidden="false" customHeight="false" outlineLevel="0" collapsed="false">
      <c r="A215" s="8" t="n">
        <v>214</v>
      </c>
      <c r="B215" s="8" t="n">
        <v>5</v>
      </c>
      <c r="C215" s="8" t="s">
        <v>305</v>
      </c>
      <c r="D215" s="8" t="s">
        <v>446</v>
      </c>
      <c r="E215" s="8" t="s">
        <v>901</v>
      </c>
      <c r="F215" s="9" t="s">
        <v>408</v>
      </c>
      <c r="G215" s="9" t="n">
        <v>1</v>
      </c>
      <c r="H215" s="9" t="n">
        <v>3</v>
      </c>
      <c r="I215" s="8" t="s">
        <v>306</v>
      </c>
      <c r="J215" s="8"/>
      <c r="K215" s="8" t="n">
        <v>1.5</v>
      </c>
      <c r="L215" s="8"/>
      <c r="M215" s="8"/>
      <c r="N215" s="8"/>
    </row>
    <row r="216" customFormat="false" ht="15" hidden="false" customHeight="false" outlineLevel="0" collapsed="false">
      <c r="A216" s="8" t="n">
        <v>215</v>
      </c>
      <c r="B216" s="8" t="n">
        <v>5</v>
      </c>
      <c r="C216" s="8" t="s">
        <v>305</v>
      </c>
      <c r="D216" s="8" t="s">
        <v>448</v>
      </c>
      <c r="E216" s="8" t="s">
        <v>902</v>
      </c>
      <c r="F216" s="9" t="s">
        <v>408</v>
      </c>
      <c r="G216" s="9" t="n">
        <v>1</v>
      </c>
      <c r="H216" s="9" t="n">
        <v>3</v>
      </c>
      <c r="I216" s="8" t="s">
        <v>306</v>
      </c>
      <c r="J216" s="8"/>
      <c r="K216" s="8" t="n">
        <v>1.5</v>
      </c>
      <c r="L216" s="8"/>
      <c r="M216" s="8"/>
      <c r="N216" s="8"/>
    </row>
    <row r="217" customFormat="false" ht="15" hidden="false" customHeight="false" outlineLevel="0" collapsed="false">
      <c r="A217" s="8" t="n">
        <v>216</v>
      </c>
      <c r="B217" s="8" t="n">
        <v>5</v>
      </c>
      <c r="C217" s="8" t="s">
        <v>305</v>
      </c>
      <c r="D217" s="8" t="s">
        <v>454</v>
      </c>
      <c r="E217" s="8" t="s">
        <v>903</v>
      </c>
      <c r="F217" s="9" t="s">
        <v>408</v>
      </c>
      <c r="G217" s="9" t="n">
        <v>1</v>
      </c>
      <c r="H217" s="9" t="n">
        <v>3</v>
      </c>
      <c r="I217" s="8" t="s">
        <v>306</v>
      </c>
      <c r="J217" s="8"/>
      <c r="K217" s="8" t="n">
        <v>1.5</v>
      </c>
      <c r="L217" s="8"/>
      <c r="M217" s="8"/>
      <c r="N217" s="8"/>
    </row>
    <row r="218" customFormat="false" ht="15" hidden="false" customHeight="false" outlineLevel="0" collapsed="false">
      <c r="A218" s="8" t="n">
        <v>217</v>
      </c>
      <c r="B218" s="8" t="n">
        <v>5</v>
      </c>
      <c r="C218" s="8" t="s">
        <v>307</v>
      </c>
      <c r="D218" s="8" t="s">
        <v>463</v>
      </c>
      <c r="E218" s="8" t="s">
        <v>904</v>
      </c>
      <c r="F218" s="9" t="s">
        <v>408</v>
      </c>
      <c r="G218" s="9" t="n">
        <v>1</v>
      </c>
      <c r="H218" s="9" t="n">
        <v>3</v>
      </c>
      <c r="I218" s="8" t="s">
        <v>308</v>
      </c>
      <c r="J218" s="8"/>
      <c r="K218" s="8" t="n">
        <v>1.5</v>
      </c>
      <c r="L218" s="8"/>
      <c r="M218" s="8"/>
      <c r="N218" s="8"/>
    </row>
    <row r="219" customFormat="false" ht="15" hidden="false" customHeight="false" outlineLevel="0" collapsed="false">
      <c r="A219" s="8" t="n">
        <v>218</v>
      </c>
      <c r="B219" s="8" t="n">
        <v>5</v>
      </c>
      <c r="C219" s="8" t="s">
        <v>307</v>
      </c>
      <c r="D219" s="8" t="s">
        <v>611</v>
      </c>
      <c r="E219" s="8" t="s">
        <v>905</v>
      </c>
      <c r="F219" s="9" t="s">
        <v>408</v>
      </c>
      <c r="G219" s="9" t="n">
        <v>1</v>
      </c>
      <c r="H219" s="9" t="n">
        <v>3</v>
      </c>
      <c r="I219" s="8" t="s">
        <v>308</v>
      </c>
      <c r="J219" s="8"/>
      <c r="K219" s="8" t="n">
        <v>1.5</v>
      </c>
      <c r="L219" s="8"/>
      <c r="M219" s="8"/>
      <c r="N219" s="8"/>
    </row>
    <row r="220" customFormat="false" ht="15" hidden="false" customHeight="false" outlineLevel="0" collapsed="false">
      <c r="A220" s="8" t="n">
        <v>219</v>
      </c>
      <c r="B220" s="8" t="n">
        <v>5</v>
      </c>
      <c r="C220" s="8" t="s">
        <v>307</v>
      </c>
      <c r="D220" s="8" t="s">
        <v>617</v>
      </c>
      <c r="E220" s="8" t="s">
        <v>906</v>
      </c>
      <c r="F220" s="9" t="s">
        <v>408</v>
      </c>
      <c r="G220" s="9" t="n">
        <v>1</v>
      </c>
      <c r="H220" s="9" t="n">
        <v>3</v>
      </c>
      <c r="I220" s="8" t="s">
        <v>308</v>
      </c>
      <c r="J220" s="8"/>
      <c r="K220" s="8" t="n">
        <v>1.5</v>
      </c>
      <c r="L220" s="8"/>
      <c r="M220" s="8"/>
      <c r="N220" s="8"/>
    </row>
    <row r="221" customFormat="false" ht="15" hidden="false" customHeight="false" outlineLevel="0" collapsed="false">
      <c r="A221" s="8" t="n">
        <v>220</v>
      </c>
      <c r="B221" s="8" t="n">
        <v>5</v>
      </c>
      <c r="C221" s="8" t="s">
        <v>307</v>
      </c>
      <c r="D221" s="8" t="s">
        <v>869</v>
      </c>
      <c r="E221" s="8" t="s">
        <v>587</v>
      </c>
      <c r="F221" s="9" t="s">
        <v>408</v>
      </c>
      <c r="G221" s="9" t="n">
        <v>1</v>
      </c>
      <c r="H221" s="9" t="n">
        <v>3</v>
      </c>
      <c r="I221" s="8" t="s">
        <v>308</v>
      </c>
      <c r="J221" s="8"/>
      <c r="K221" s="8" t="n">
        <v>1.5</v>
      </c>
      <c r="L221" s="8"/>
      <c r="M221" s="8"/>
      <c r="N221" s="8"/>
    </row>
    <row r="222" customFormat="false" ht="15" hidden="false" customHeight="false" outlineLevel="0" collapsed="false">
      <c r="A222" s="8" t="n">
        <v>221</v>
      </c>
      <c r="B222" s="8" t="n">
        <v>5</v>
      </c>
      <c r="C222" s="8" t="s">
        <v>907</v>
      </c>
      <c r="D222" s="8" t="s">
        <v>908</v>
      </c>
      <c r="E222" s="8" t="s">
        <v>909</v>
      </c>
      <c r="F222" s="9" t="s">
        <v>408</v>
      </c>
      <c r="G222" s="9" t="n">
        <v>1</v>
      </c>
      <c r="H222" s="9" t="n">
        <v>3</v>
      </c>
      <c r="I222" s="8" t="s">
        <v>310</v>
      </c>
      <c r="J222" s="8"/>
      <c r="K222" s="8" t="n">
        <v>1.5</v>
      </c>
      <c r="L222" s="8"/>
      <c r="M222" s="8"/>
      <c r="N222" s="8"/>
    </row>
    <row r="223" customFormat="false" ht="15" hidden="false" customHeight="false" outlineLevel="0" collapsed="false">
      <c r="A223" s="8" t="n">
        <v>222</v>
      </c>
      <c r="B223" s="8" t="n">
        <v>5</v>
      </c>
      <c r="C223" s="8" t="s">
        <v>907</v>
      </c>
      <c r="D223" s="8" t="s">
        <v>910</v>
      </c>
      <c r="E223" s="8" t="s">
        <v>911</v>
      </c>
      <c r="F223" s="9" t="s">
        <v>408</v>
      </c>
      <c r="G223" s="9" t="n">
        <v>1</v>
      </c>
      <c r="H223" s="9" t="n">
        <v>3</v>
      </c>
      <c r="I223" s="8" t="s">
        <v>310</v>
      </c>
      <c r="J223" s="8"/>
      <c r="K223" s="8" t="n">
        <v>1.5</v>
      </c>
      <c r="L223" s="8"/>
      <c r="M223" s="8"/>
      <c r="N223" s="8"/>
    </row>
    <row r="224" customFormat="false" ht="15" hidden="false" customHeight="false" outlineLevel="0" collapsed="false">
      <c r="A224" s="8" t="n">
        <v>223</v>
      </c>
      <c r="B224" s="8" t="n">
        <v>5</v>
      </c>
      <c r="C224" s="8" t="s">
        <v>907</v>
      </c>
      <c r="D224" s="8" t="s">
        <v>912</v>
      </c>
      <c r="E224" s="8" t="s">
        <v>913</v>
      </c>
      <c r="F224" s="9" t="s">
        <v>408</v>
      </c>
      <c r="G224" s="9" t="n">
        <v>1</v>
      </c>
      <c r="H224" s="9" t="n">
        <v>3</v>
      </c>
      <c r="I224" s="8" t="s">
        <v>310</v>
      </c>
      <c r="J224" s="8"/>
      <c r="K224" s="8" t="n">
        <v>1.5</v>
      </c>
      <c r="L224" s="8"/>
      <c r="M224" s="8"/>
      <c r="N224" s="8"/>
    </row>
    <row r="225" customFormat="false" ht="15" hidden="false" customHeight="false" outlineLevel="0" collapsed="false">
      <c r="A225" s="8" t="n">
        <v>224</v>
      </c>
      <c r="B225" s="8" t="n">
        <v>5</v>
      </c>
      <c r="C225" s="8" t="s">
        <v>914</v>
      </c>
      <c r="D225" s="8" t="s">
        <v>915</v>
      </c>
      <c r="E225" s="8" t="s">
        <v>916</v>
      </c>
      <c r="F225" s="9" t="s">
        <v>408</v>
      </c>
      <c r="G225" s="9" t="n">
        <v>1</v>
      </c>
      <c r="H225" s="9" t="n">
        <v>3</v>
      </c>
      <c r="I225" s="8"/>
      <c r="J225" s="8"/>
      <c r="K225" s="8" t="n">
        <v>1.5</v>
      </c>
      <c r="L225" s="8"/>
      <c r="M225" s="8"/>
      <c r="N225" s="8" t="s">
        <v>917</v>
      </c>
    </row>
    <row r="226" customFormat="false" ht="15" hidden="false" customHeight="false" outlineLevel="0" collapsed="false">
      <c r="A226" s="8" t="n">
        <v>225</v>
      </c>
      <c r="B226" s="8" t="n">
        <v>5</v>
      </c>
      <c r="C226" s="8" t="s">
        <v>311</v>
      </c>
      <c r="D226" s="8" t="s">
        <v>504</v>
      </c>
      <c r="E226" s="8" t="s">
        <v>918</v>
      </c>
      <c r="F226" s="9" t="s">
        <v>408</v>
      </c>
      <c r="G226" s="9" t="n">
        <v>1</v>
      </c>
      <c r="H226" s="9" t="n">
        <v>3</v>
      </c>
      <c r="I226" s="8" t="s">
        <v>312</v>
      </c>
      <c r="J226" s="8"/>
      <c r="K226" s="8" t="n">
        <v>1.5</v>
      </c>
      <c r="L226" s="8"/>
      <c r="M226" s="8"/>
      <c r="N226" s="8"/>
    </row>
    <row r="227" customFormat="false" ht="15" hidden="false" customHeight="false" outlineLevel="0" collapsed="false">
      <c r="A227" s="8" t="n">
        <v>226</v>
      </c>
      <c r="B227" s="8" t="n">
        <v>5</v>
      </c>
      <c r="C227" s="8" t="s">
        <v>311</v>
      </c>
      <c r="D227" s="8" t="s">
        <v>506</v>
      </c>
      <c r="E227" s="8" t="s">
        <v>919</v>
      </c>
      <c r="F227" s="9" t="s">
        <v>408</v>
      </c>
      <c r="G227" s="9" t="n">
        <v>1</v>
      </c>
      <c r="H227" s="9" t="n">
        <v>3</v>
      </c>
      <c r="I227" s="8" t="s">
        <v>312</v>
      </c>
      <c r="J227" s="8"/>
      <c r="K227" s="8" t="n">
        <v>1.5</v>
      </c>
      <c r="L227" s="8"/>
      <c r="M227" s="8"/>
      <c r="N227" s="8"/>
    </row>
    <row r="228" customFormat="false" ht="15" hidden="false" customHeight="false" outlineLevel="0" collapsed="false">
      <c r="A228" s="8" t="n">
        <v>227</v>
      </c>
      <c r="B228" s="8" t="n">
        <v>5</v>
      </c>
      <c r="C228" s="8" t="s">
        <v>311</v>
      </c>
      <c r="D228" s="8" t="s">
        <v>508</v>
      </c>
      <c r="E228" s="8" t="s">
        <v>920</v>
      </c>
      <c r="F228" s="9" t="s">
        <v>408</v>
      </c>
      <c r="G228" s="9" t="n">
        <v>1</v>
      </c>
      <c r="H228" s="9" t="n">
        <v>3</v>
      </c>
      <c r="I228" s="8" t="s">
        <v>312</v>
      </c>
      <c r="J228" s="8"/>
      <c r="K228" s="8" t="n">
        <v>1.5</v>
      </c>
      <c r="L228" s="8"/>
      <c r="M228" s="8"/>
      <c r="N228" s="8"/>
    </row>
    <row r="229" customFormat="false" ht="15" hidden="false" customHeight="false" outlineLevel="0" collapsed="false">
      <c r="A229" s="8" t="n">
        <v>228</v>
      </c>
      <c r="B229" s="8" t="n">
        <v>5</v>
      </c>
      <c r="C229" s="8" t="s">
        <v>311</v>
      </c>
      <c r="D229" s="8" t="s">
        <v>510</v>
      </c>
      <c r="E229" s="8" t="s">
        <v>587</v>
      </c>
      <c r="F229" s="9" t="s">
        <v>408</v>
      </c>
      <c r="G229" s="9" t="n">
        <v>1</v>
      </c>
      <c r="H229" s="9" t="n">
        <v>3</v>
      </c>
      <c r="I229" s="8" t="s">
        <v>312</v>
      </c>
      <c r="J229" s="8"/>
      <c r="K229" s="8" t="n">
        <v>1.5</v>
      </c>
      <c r="L229" s="8"/>
      <c r="M229" s="8"/>
      <c r="N229" s="8"/>
    </row>
    <row r="230" customFormat="false" ht="15" hidden="false" customHeight="false" outlineLevel="0" collapsed="false">
      <c r="A230" s="8" t="n">
        <v>229</v>
      </c>
      <c r="B230" s="8" t="n">
        <v>5</v>
      </c>
      <c r="C230" s="8" t="s">
        <v>313</v>
      </c>
      <c r="D230" s="8" t="s">
        <v>921</v>
      </c>
      <c r="E230" s="8" t="s">
        <v>922</v>
      </c>
      <c r="F230" s="9" t="s">
        <v>408</v>
      </c>
      <c r="G230" s="9" t="n">
        <v>1</v>
      </c>
      <c r="H230" s="9" t="n">
        <v>3</v>
      </c>
      <c r="I230" s="8" t="s">
        <v>314</v>
      </c>
      <c r="J230" s="8"/>
      <c r="K230" s="8" t="n">
        <v>1.5</v>
      </c>
      <c r="L230" s="8"/>
      <c r="M230" s="8"/>
      <c r="N230" s="8"/>
    </row>
    <row r="231" customFormat="false" ht="15" hidden="false" customHeight="false" outlineLevel="0" collapsed="false">
      <c r="A231" s="8" t="n">
        <v>230</v>
      </c>
      <c r="B231" s="8" t="n">
        <v>5</v>
      </c>
      <c r="C231" s="8" t="s">
        <v>313</v>
      </c>
      <c r="D231" s="8" t="s">
        <v>923</v>
      </c>
      <c r="E231" s="8" t="s">
        <v>924</v>
      </c>
      <c r="F231" s="9" t="s">
        <v>408</v>
      </c>
      <c r="G231" s="9" t="n">
        <v>1</v>
      </c>
      <c r="H231" s="9" t="n">
        <v>3</v>
      </c>
      <c r="I231" s="8" t="s">
        <v>314</v>
      </c>
      <c r="J231" s="8"/>
      <c r="K231" s="8" t="n">
        <v>1.5</v>
      </c>
      <c r="L231" s="8"/>
      <c r="M231" s="8"/>
      <c r="N231" s="8"/>
    </row>
    <row r="232" customFormat="false" ht="15" hidden="false" customHeight="false" outlineLevel="0" collapsed="false">
      <c r="A232" s="8" t="n">
        <v>231</v>
      </c>
      <c r="B232" s="8" t="n">
        <v>5</v>
      </c>
      <c r="C232" s="8" t="s">
        <v>315</v>
      </c>
      <c r="D232" s="8" t="s">
        <v>925</v>
      </c>
      <c r="E232" s="8" t="s">
        <v>926</v>
      </c>
      <c r="F232" s="9" t="s">
        <v>408</v>
      </c>
      <c r="G232" s="9" t="n">
        <v>1</v>
      </c>
      <c r="H232" s="9" t="n">
        <v>3</v>
      </c>
      <c r="I232" s="8" t="s">
        <v>316</v>
      </c>
      <c r="J232" s="8"/>
      <c r="K232" s="8" t="n">
        <v>1.5</v>
      </c>
      <c r="L232" s="8"/>
      <c r="M232" s="8"/>
      <c r="N232" s="8"/>
    </row>
    <row r="233" customFormat="false" ht="15" hidden="false" customHeight="false" outlineLevel="0" collapsed="false">
      <c r="A233" s="8" t="n">
        <v>232</v>
      </c>
      <c r="B233" s="8" t="n">
        <v>5</v>
      </c>
      <c r="C233" s="8" t="s">
        <v>315</v>
      </c>
      <c r="D233" s="8" t="s">
        <v>927</v>
      </c>
      <c r="E233" s="8" t="s">
        <v>928</v>
      </c>
      <c r="F233" s="9" t="s">
        <v>408</v>
      </c>
      <c r="G233" s="9" t="n">
        <v>1</v>
      </c>
      <c r="H233" s="9" t="n">
        <v>3</v>
      </c>
      <c r="I233" s="8" t="s">
        <v>316</v>
      </c>
      <c r="J233" s="8"/>
      <c r="K233" s="8" t="n">
        <v>1.5</v>
      </c>
      <c r="L233" s="8"/>
      <c r="M233" s="8"/>
      <c r="N233" s="8"/>
    </row>
    <row r="234" customFormat="false" ht="15" hidden="false" customHeight="false" outlineLevel="0" collapsed="false">
      <c r="A234" s="8" t="n">
        <v>233</v>
      </c>
      <c r="B234" s="8" t="n">
        <v>5</v>
      </c>
      <c r="C234" s="8" t="s">
        <v>315</v>
      </c>
      <c r="D234" s="8" t="s">
        <v>929</v>
      </c>
      <c r="E234" s="8" t="s">
        <v>930</v>
      </c>
      <c r="F234" s="9" t="s">
        <v>408</v>
      </c>
      <c r="G234" s="9" t="n">
        <v>1</v>
      </c>
      <c r="H234" s="9" t="n">
        <v>3</v>
      </c>
      <c r="I234" s="8" t="s">
        <v>316</v>
      </c>
      <c r="J234" s="8"/>
      <c r="K234" s="8" t="n">
        <v>1.5</v>
      </c>
      <c r="L234" s="8"/>
      <c r="M234" s="8"/>
      <c r="N234" s="8"/>
    </row>
    <row r="235" customFormat="false" ht="15" hidden="false" customHeight="false" outlineLevel="0" collapsed="false">
      <c r="A235" s="8" t="n">
        <v>234</v>
      </c>
      <c r="B235" s="8" t="n">
        <v>5</v>
      </c>
      <c r="C235" s="8" t="s">
        <v>315</v>
      </c>
      <c r="D235" s="8" t="s">
        <v>931</v>
      </c>
      <c r="E235" s="8" t="s">
        <v>932</v>
      </c>
      <c r="F235" s="9" t="s">
        <v>408</v>
      </c>
      <c r="G235" s="9" t="n">
        <v>1</v>
      </c>
      <c r="H235" s="9" t="n">
        <v>3</v>
      </c>
      <c r="I235" s="8" t="s">
        <v>316</v>
      </c>
      <c r="J235" s="8"/>
      <c r="K235" s="8" t="n">
        <v>1.5</v>
      </c>
      <c r="L235" s="8"/>
      <c r="M235" s="8"/>
      <c r="N235" s="8"/>
    </row>
    <row r="236" customFormat="false" ht="15" hidden="false" customHeight="false" outlineLevel="0" collapsed="false">
      <c r="A236" s="8" t="n">
        <v>235</v>
      </c>
      <c r="B236" s="8" t="n">
        <v>6</v>
      </c>
      <c r="C236" s="8" t="s">
        <v>933</v>
      </c>
      <c r="D236" s="8" t="s">
        <v>934</v>
      </c>
      <c r="E236" s="8" t="s">
        <v>935</v>
      </c>
      <c r="F236" s="9" t="s">
        <v>408</v>
      </c>
      <c r="G236" s="9" t="n">
        <v>1</v>
      </c>
      <c r="H236" s="9" t="n">
        <v>3</v>
      </c>
      <c r="I236" s="8" t="s">
        <v>319</v>
      </c>
      <c r="J236" s="8" t="n">
        <v>3</v>
      </c>
      <c r="K236" s="8" t="n">
        <v>1.5</v>
      </c>
      <c r="L236" s="8"/>
      <c r="M236" s="8"/>
      <c r="N236" s="8"/>
    </row>
    <row r="237" customFormat="false" ht="15" hidden="false" customHeight="false" outlineLevel="0" collapsed="false">
      <c r="A237" s="8" t="n">
        <v>236</v>
      </c>
      <c r="B237" s="8" t="n">
        <v>6</v>
      </c>
      <c r="C237" s="8" t="s">
        <v>933</v>
      </c>
      <c r="D237" s="8" t="s">
        <v>936</v>
      </c>
      <c r="E237" s="8" t="s">
        <v>937</v>
      </c>
      <c r="F237" s="9" t="s">
        <v>408</v>
      </c>
      <c r="G237" s="9" t="n">
        <v>1</v>
      </c>
      <c r="H237" s="9" t="n">
        <v>3</v>
      </c>
      <c r="I237" s="8" t="s">
        <v>319</v>
      </c>
      <c r="J237" s="8" t="n">
        <v>45</v>
      </c>
      <c r="K237" s="8" t="n">
        <v>1.5</v>
      </c>
      <c r="L237" s="8"/>
      <c r="M237" s="8"/>
      <c r="N237" s="8"/>
    </row>
    <row r="238" customFormat="false" ht="15" hidden="false" customHeight="false" outlineLevel="0" collapsed="false">
      <c r="A238" s="8" t="n">
        <v>237</v>
      </c>
      <c r="B238" s="8" t="n">
        <v>6</v>
      </c>
      <c r="C238" s="8" t="s">
        <v>933</v>
      </c>
      <c r="D238" s="8" t="s">
        <v>938</v>
      </c>
      <c r="E238" s="8" t="s">
        <v>939</v>
      </c>
      <c r="F238" s="9" t="s">
        <v>408</v>
      </c>
      <c r="G238" s="9" t="n">
        <v>1</v>
      </c>
      <c r="H238" s="9" t="n">
        <v>3</v>
      </c>
      <c r="I238" s="8" t="s">
        <v>319</v>
      </c>
      <c r="J238" s="8" t="n">
        <v>47</v>
      </c>
      <c r="K238" s="8" t="n">
        <v>1.5</v>
      </c>
      <c r="L238" s="8"/>
      <c r="M238" s="8"/>
      <c r="N238" s="8"/>
    </row>
    <row r="239" customFormat="false" ht="15" hidden="false" customHeight="false" outlineLevel="0" collapsed="false">
      <c r="A239" s="8" t="n">
        <v>238</v>
      </c>
      <c r="B239" s="8" t="n">
        <v>6</v>
      </c>
      <c r="C239" s="8" t="s">
        <v>933</v>
      </c>
      <c r="D239" s="8" t="s">
        <v>940</v>
      </c>
      <c r="E239" s="8" t="s">
        <v>941</v>
      </c>
      <c r="F239" s="9" t="s">
        <v>408</v>
      </c>
      <c r="G239" s="9" t="n">
        <v>1</v>
      </c>
      <c r="H239" s="9" t="n">
        <v>3</v>
      </c>
      <c r="I239" s="8" t="s">
        <v>319</v>
      </c>
      <c r="J239" s="8" t="n">
        <v>51</v>
      </c>
      <c r="K239" s="8" t="n">
        <v>1.5</v>
      </c>
      <c r="L239" s="8"/>
      <c r="M239" s="8"/>
      <c r="N239" s="8"/>
    </row>
    <row r="240" customFormat="false" ht="15" hidden="false" customHeight="false" outlineLevel="0" collapsed="false">
      <c r="A240" s="8" t="n">
        <v>239</v>
      </c>
      <c r="B240" s="8" t="n">
        <v>6</v>
      </c>
      <c r="C240" s="8" t="s">
        <v>933</v>
      </c>
      <c r="D240" s="8" t="s">
        <v>942</v>
      </c>
      <c r="E240" s="8" t="s">
        <v>943</v>
      </c>
      <c r="F240" s="9" t="s">
        <v>408</v>
      </c>
      <c r="G240" s="9" t="n">
        <v>1</v>
      </c>
      <c r="H240" s="9" t="n">
        <v>3</v>
      </c>
      <c r="I240" s="8" t="s">
        <v>319</v>
      </c>
      <c r="J240" s="8" t="n">
        <v>55</v>
      </c>
      <c r="K240" s="8" t="n">
        <v>1.5</v>
      </c>
      <c r="L240" s="8"/>
      <c r="M240" s="8"/>
      <c r="N240" s="8"/>
    </row>
    <row r="241" customFormat="false" ht="15" hidden="false" customHeight="false" outlineLevel="0" collapsed="false">
      <c r="A241" s="8" t="n">
        <v>240</v>
      </c>
      <c r="B241" s="8" t="n">
        <v>6</v>
      </c>
      <c r="C241" s="8" t="s">
        <v>944</v>
      </c>
      <c r="D241" s="8" t="s">
        <v>945</v>
      </c>
      <c r="E241" s="8" t="s">
        <v>946</v>
      </c>
      <c r="F241" s="9" t="s">
        <v>408</v>
      </c>
      <c r="G241" s="9" t="n">
        <v>1</v>
      </c>
      <c r="H241" s="9" t="n">
        <v>3</v>
      </c>
      <c r="I241" s="8"/>
      <c r="J241" s="8"/>
      <c r="K241" s="8" t="n">
        <v>1.5</v>
      </c>
      <c r="L241" s="8"/>
      <c r="M241" s="8"/>
      <c r="N241" s="8" t="s">
        <v>947</v>
      </c>
    </row>
    <row r="242" customFormat="false" ht="15" hidden="false" customHeight="false" outlineLevel="0" collapsed="false">
      <c r="A242" s="8" t="n">
        <v>241</v>
      </c>
      <c r="B242" s="8" t="n">
        <v>6</v>
      </c>
      <c r="C242" s="8" t="s">
        <v>948</v>
      </c>
      <c r="D242" s="8" t="s">
        <v>949</v>
      </c>
      <c r="E242" s="8" t="s">
        <v>950</v>
      </c>
      <c r="F242" s="9" t="s">
        <v>408</v>
      </c>
      <c r="G242" s="9" t="n">
        <v>1</v>
      </c>
      <c r="H242" s="9" t="n">
        <v>3</v>
      </c>
      <c r="I242" s="8" t="s">
        <v>321</v>
      </c>
      <c r="J242" s="8"/>
      <c r="K242" s="8" t="n">
        <v>1.5</v>
      </c>
      <c r="L242" s="8"/>
      <c r="M242" s="8"/>
      <c r="N242" s="8"/>
    </row>
    <row r="243" customFormat="false" ht="15" hidden="false" customHeight="false" outlineLevel="0" collapsed="false">
      <c r="A243" s="8" t="n">
        <v>242</v>
      </c>
      <c r="B243" s="8" t="n">
        <v>6</v>
      </c>
      <c r="C243" s="8" t="s">
        <v>948</v>
      </c>
      <c r="D243" s="8" t="s">
        <v>949</v>
      </c>
      <c r="E243" s="8" t="s">
        <v>951</v>
      </c>
      <c r="F243" s="9" t="s">
        <v>408</v>
      </c>
      <c r="G243" s="9" t="n">
        <v>1</v>
      </c>
      <c r="H243" s="9" t="n">
        <v>3</v>
      </c>
      <c r="I243" s="8" t="s">
        <v>323</v>
      </c>
      <c r="J243" s="8"/>
      <c r="K243" s="8" t="n">
        <v>1.5</v>
      </c>
      <c r="L243" s="8"/>
      <c r="M243" s="8"/>
      <c r="N243" s="8"/>
    </row>
    <row r="244" customFormat="false" ht="15" hidden="false" customHeight="false" outlineLevel="0" collapsed="false">
      <c r="A244" s="8" t="n">
        <v>243</v>
      </c>
      <c r="B244" s="8" t="n">
        <v>6</v>
      </c>
      <c r="C244" s="8" t="s">
        <v>948</v>
      </c>
      <c r="D244" s="8" t="s">
        <v>949</v>
      </c>
      <c r="E244" s="8" t="s">
        <v>952</v>
      </c>
      <c r="F244" s="9" t="s">
        <v>408</v>
      </c>
      <c r="G244" s="9" t="n">
        <v>1</v>
      </c>
      <c r="H244" s="9" t="n">
        <v>3</v>
      </c>
      <c r="I244" s="8" t="s">
        <v>325</v>
      </c>
      <c r="J244" s="8"/>
      <c r="K244" s="8" t="n">
        <v>1.5</v>
      </c>
      <c r="L244" s="8"/>
      <c r="M244" s="8"/>
      <c r="N244" s="8"/>
    </row>
    <row r="245" customFormat="false" ht="15" hidden="false" customHeight="false" outlineLevel="0" collapsed="false">
      <c r="A245" s="8" t="n">
        <v>244</v>
      </c>
      <c r="B245" s="8" t="n">
        <v>6</v>
      </c>
      <c r="C245" s="8" t="s">
        <v>948</v>
      </c>
      <c r="D245" s="8" t="s">
        <v>949</v>
      </c>
      <c r="E245" s="8" t="s">
        <v>953</v>
      </c>
      <c r="F245" s="9" t="s">
        <v>408</v>
      </c>
      <c r="G245" s="9" t="n">
        <v>1</v>
      </c>
      <c r="H245" s="9" t="n">
        <v>3</v>
      </c>
      <c r="I245" s="8" t="s">
        <v>327</v>
      </c>
      <c r="J245" s="8"/>
      <c r="K245" s="8" t="n">
        <v>1.5</v>
      </c>
      <c r="L245" s="8"/>
      <c r="M245" s="8"/>
      <c r="N245" s="8"/>
    </row>
    <row r="246" customFormat="false" ht="15" hidden="false" customHeight="false" outlineLevel="0" collapsed="false">
      <c r="A246" s="8" t="n">
        <v>245</v>
      </c>
      <c r="B246" s="8" t="n">
        <v>6</v>
      </c>
      <c r="C246" s="8" t="s">
        <v>948</v>
      </c>
      <c r="D246" s="8" t="s">
        <v>949</v>
      </c>
      <c r="E246" s="8" t="s">
        <v>954</v>
      </c>
      <c r="F246" s="9" t="s">
        <v>408</v>
      </c>
      <c r="G246" s="9" t="n">
        <v>1</v>
      </c>
      <c r="H246" s="9" t="n">
        <v>3</v>
      </c>
      <c r="I246" s="8" t="s">
        <v>329</v>
      </c>
      <c r="J246" s="8"/>
      <c r="K246" s="8" t="n">
        <v>1.5</v>
      </c>
      <c r="L246" s="8"/>
      <c r="M246" s="8"/>
      <c r="N246" s="8"/>
    </row>
    <row r="247" customFormat="false" ht="15" hidden="false" customHeight="false" outlineLevel="0" collapsed="false">
      <c r="A247" s="8" t="n">
        <v>246</v>
      </c>
      <c r="B247" s="8" t="n">
        <v>6</v>
      </c>
      <c r="C247" s="8" t="s">
        <v>948</v>
      </c>
      <c r="D247" s="8" t="s">
        <v>949</v>
      </c>
      <c r="E247" s="8" t="s">
        <v>955</v>
      </c>
      <c r="F247" s="9" t="s">
        <v>408</v>
      </c>
      <c r="G247" s="9" t="n">
        <v>1</v>
      </c>
      <c r="H247" s="9" t="n">
        <v>3</v>
      </c>
      <c r="I247" s="8" t="s">
        <v>331</v>
      </c>
      <c r="J247" s="8"/>
      <c r="K247" s="8" t="n">
        <v>1.5</v>
      </c>
      <c r="L247" s="8"/>
      <c r="M247" s="8"/>
      <c r="N247" s="8"/>
    </row>
    <row r="248" customFormat="false" ht="15" hidden="false" customHeight="false" outlineLevel="0" collapsed="false">
      <c r="A248" s="8" t="n">
        <v>247</v>
      </c>
      <c r="B248" s="8" t="n">
        <v>6</v>
      </c>
      <c r="C248" s="8" t="s">
        <v>948</v>
      </c>
      <c r="D248" s="8" t="s">
        <v>949</v>
      </c>
      <c r="E248" s="8" t="s">
        <v>956</v>
      </c>
      <c r="F248" s="9" t="s">
        <v>408</v>
      </c>
      <c r="G248" s="9" t="n">
        <v>1</v>
      </c>
      <c r="H248" s="9" t="n">
        <v>3</v>
      </c>
      <c r="I248" s="8" t="s">
        <v>333</v>
      </c>
      <c r="J248" s="8"/>
      <c r="K248" s="8" t="n">
        <v>1.5</v>
      </c>
      <c r="L248" s="8"/>
      <c r="M248" s="8"/>
      <c r="N248" s="8"/>
    </row>
  </sheetData>
  <autoFilter ref="A1:N248"/>
  <dataValidations count="3">
    <dataValidation allowBlank="true" error="Pick a value from the list" errorStyle="stop" errorTitle="Invalid value" operator="between" showDropDown="false" showErrorMessage="false" showInputMessage="false" sqref="F2:F1248" type="list">
      <formula1>"Not Started,Copied,Learning,Needs Focus,Mastered"</formula1>
      <formula2>0</formula2>
    </dataValidation>
    <dataValidation allowBlank="true" error="Pick a value from the list" errorStyle="stop" errorTitle="Invalid value" operator="between" showDropDown="false" showErrorMessage="false" showInputMessage="false" sqref="G2:G1248" type="list">
      <formula1>"1,2,3,4,5"</formula1>
      <formula2>0</formula2>
    </dataValidation>
    <dataValidation allowBlank="true" error="Pick a value from the list" errorStyle="stop" errorTitle="Invalid value" operator="between" showDropDown="false" showErrorMessage="false" showInputMessage="false" sqref="H2:H1248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34"/>
    <col collapsed="false" customWidth="true" hidden="false" outlineLevel="0" max="10" min="6" style="0" width="12"/>
    <col collapsed="false" customWidth="true" hidden="false" outlineLevel="0" max="11" min="11" style="0" width="13"/>
    <col collapsed="false" customWidth="true" hidden="false" outlineLevel="0" max="12" min="12" style="0" width="19"/>
    <col collapsed="false" customWidth="true" hidden="false" outlineLevel="0" max="13" min="13" style="0" width="30"/>
    <col collapsed="false" customWidth="true" hidden="false" outlineLevel="0" max="14" min="14" style="0" width="19"/>
    <col collapsed="false" customWidth="true" hidden="false" outlineLevel="0" max="15" min="15" style="0" width="90"/>
  </cols>
  <sheetData>
    <row r="1" customFormat="false" ht="15" hidden="false" customHeight="false" outlineLevel="0" collapsed="false">
      <c r="A1" s="3" t="s">
        <v>957</v>
      </c>
      <c r="B1" s="3" t="s">
        <v>2</v>
      </c>
      <c r="C1" s="3" t="s">
        <v>958</v>
      </c>
      <c r="D1" s="3" t="s">
        <v>396</v>
      </c>
      <c r="E1" s="3" t="s">
        <v>337</v>
      </c>
      <c r="F1" s="3" t="s">
        <v>959</v>
      </c>
      <c r="G1" s="3" t="s">
        <v>960</v>
      </c>
      <c r="H1" s="3" t="s">
        <v>961</v>
      </c>
      <c r="I1" s="3" t="s">
        <v>397</v>
      </c>
      <c r="J1" s="3" t="s">
        <v>962</v>
      </c>
      <c r="K1" s="3" t="s">
        <v>963</v>
      </c>
      <c r="L1" s="3" t="s">
        <v>964</v>
      </c>
      <c r="M1" s="3" t="s">
        <v>965</v>
      </c>
      <c r="N1" s="3" t="s">
        <v>402</v>
      </c>
      <c r="O1" s="3" t="s">
        <v>60</v>
      </c>
    </row>
    <row r="2" customFormat="false" ht="23.85" hidden="false" customHeight="false" outlineLevel="0" collapsed="false">
      <c r="A2" s="8" t="n">
        <v>1</v>
      </c>
      <c r="B2" s="8" t="n">
        <v>1</v>
      </c>
      <c r="C2" s="8" t="s">
        <v>966</v>
      </c>
      <c r="D2" s="8" t="s">
        <v>967</v>
      </c>
      <c r="E2" s="8" t="s">
        <v>346</v>
      </c>
      <c r="F2" s="8" t="s">
        <v>968</v>
      </c>
      <c r="G2" s="8"/>
      <c r="H2" s="8" t="s">
        <v>969</v>
      </c>
      <c r="I2" s="9" t="s">
        <v>408</v>
      </c>
      <c r="J2" s="9"/>
      <c r="K2" s="8" t="n">
        <v>100</v>
      </c>
      <c r="L2" s="8"/>
      <c r="M2" s="8" t="s">
        <v>970</v>
      </c>
      <c r="N2" s="8" t="n">
        <v>8</v>
      </c>
      <c r="O2" s="7" t="s">
        <v>971</v>
      </c>
    </row>
    <row r="3" customFormat="false" ht="23.85" hidden="false" customHeight="false" outlineLevel="0" collapsed="false">
      <c r="A3" s="8" t="n">
        <v>2</v>
      </c>
      <c r="B3" s="8" t="n">
        <v>1</v>
      </c>
      <c r="C3" s="8" t="s">
        <v>966</v>
      </c>
      <c r="D3" s="8" t="s">
        <v>972</v>
      </c>
      <c r="E3" s="8" t="s">
        <v>348</v>
      </c>
      <c r="F3" s="8" t="s">
        <v>973</v>
      </c>
      <c r="G3" s="8"/>
      <c r="H3" s="8" t="s">
        <v>969</v>
      </c>
      <c r="I3" s="9" t="s">
        <v>408</v>
      </c>
      <c r="J3" s="9"/>
      <c r="K3" s="8" t="n">
        <v>100</v>
      </c>
      <c r="L3" s="8"/>
      <c r="M3" s="8" t="s">
        <v>974</v>
      </c>
      <c r="N3" s="8" t="n">
        <v>6</v>
      </c>
      <c r="O3" s="7" t="s">
        <v>975</v>
      </c>
    </row>
    <row r="4" customFormat="false" ht="15" hidden="false" customHeight="false" outlineLevel="0" collapsed="false">
      <c r="A4" s="8" t="n">
        <v>3</v>
      </c>
      <c r="B4" s="8" t="n">
        <v>1</v>
      </c>
      <c r="C4" s="8" t="s">
        <v>373</v>
      </c>
      <c r="D4" s="8" t="s">
        <v>976</v>
      </c>
      <c r="E4" s="8" t="s">
        <v>350</v>
      </c>
      <c r="F4" s="8" t="s">
        <v>977</v>
      </c>
      <c r="G4" s="8"/>
      <c r="H4" s="8" t="s">
        <v>969</v>
      </c>
      <c r="I4" s="9" t="s">
        <v>408</v>
      </c>
      <c r="J4" s="9"/>
      <c r="K4" s="8" t="n">
        <v>100</v>
      </c>
      <c r="L4" s="8"/>
      <c r="M4" s="8" t="s">
        <v>978</v>
      </c>
      <c r="N4" s="8" t="n">
        <v>10</v>
      </c>
      <c r="O4" s="7" t="s">
        <v>979</v>
      </c>
    </row>
    <row r="5" customFormat="false" ht="15" hidden="false" customHeight="false" outlineLevel="0" collapsed="false">
      <c r="A5" s="8" t="n">
        <v>4</v>
      </c>
      <c r="B5" s="8" t="n">
        <v>2</v>
      </c>
      <c r="C5" s="8" t="s">
        <v>966</v>
      </c>
      <c r="D5" s="8" t="s">
        <v>980</v>
      </c>
      <c r="E5" s="8" t="s">
        <v>346</v>
      </c>
      <c r="F5" s="8" t="s">
        <v>981</v>
      </c>
      <c r="G5" s="8"/>
      <c r="H5" s="8" t="s">
        <v>969</v>
      </c>
      <c r="I5" s="9" t="s">
        <v>408</v>
      </c>
      <c r="J5" s="9"/>
      <c r="K5" s="8" t="n">
        <v>100</v>
      </c>
      <c r="L5" s="8"/>
      <c r="M5" s="8" t="s">
        <v>982</v>
      </c>
      <c r="N5" s="8" t="n">
        <v>10</v>
      </c>
      <c r="O5" s="7" t="s">
        <v>983</v>
      </c>
    </row>
    <row r="6" customFormat="false" ht="23.85" hidden="false" customHeight="false" outlineLevel="0" collapsed="false">
      <c r="A6" s="8" t="n">
        <v>5</v>
      </c>
      <c r="B6" s="8" t="n">
        <v>2</v>
      </c>
      <c r="C6" s="8" t="s">
        <v>984</v>
      </c>
      <c r="D6" s="8" t="s">
        <v>354</v>
      </c>
      <c r="E6" s="8" t="s">
        <v>354</v>
      </c>
      <c r="F6" s="8" t="s">
        <v>981</v>
      </c>
      <c r="G6" s="8" t="s">
        <v>985</v>
      </c>
      <c r="H6" s="8" t="s">
        <v>986</v>
      </c>
      <c r="I6" s="9" t="s">
        <v>408</v>
      </c>
      <c r="J6" s="9"/>
      <c r="K6" s="8" t="n">
        <v>100</v>
      </c>
      <c r="L6" s="8"/>
      <c r="M6" s="8" t="s">
        <v>982</v>
      </c>
      <c r="N6" s="8" t="n">
        <v>4</v>
      </c>
      <c r="O6" s="7" t="s">
        <v>987</v>
      </c>
    </row>
    <row r="7" customFormat="false" ht="23.85" hidden="false" customHeight="false" outlineLevel="0" collapsed="false">
      <c r="A7" s="8" t="n">
        <v>6</v>
      </c>
      <c r="B7" s="8" t="n">
        <v>2</v>
      </c>
      <c r="C7" s="8" t="s">
        <v>966</v>
      </c>
      <c r="D7" s="8" t="s">
        <v>988</v>
      </c>
      <c r="E7" s="8" t="s">
        <v>348</v>
      </c>
      <c r="F7" s="8" t="s">
        <v>989</v>
      </c>
      <c r="G7" s="8"/>
      <c r="H7" s="8" t="s">
        <v>969</v>
      </c>
      <c r="I7" s="9" t="s">
        <v>408</v>
      </c>
      <c r="J7" s="9"/>
      <c r="K7" s="8" t="n">
        <v>100</v>
      </c>
      <c r="L7" s="8"/>
      <c r="M7" s="8" t="s">
        <v>990</v>
      </c>
      <c r="N7" s="8" t="n">
        <v>10</v>
      </c>
      <c r="O7" s="7" t="s">
        <v>991</v>
      </c>
    </row>
    <row r="8" customFormat="false" ht="15" hidden="false" customHeight="false" outlineLevel="0" collapsed="false">
      <c r="A8" s="8" t="n">
        <v>7</v>
      </c>
      <c r="B8" s="8" t="n">
        <v>2</v>
      </c>
      <c r="C8" s="8" t="s">
        <v>984</v>
      </c>
      <c r="D8" s="8" t="s">
        <v>356</v>
      </c>
      <c r="E8" s="8" t="s">
        <v>356</v>
      </c>
      <c r="F8" s="8" t="s">
        <v>992</v>
      </c>
      <c r="G8" s="8" t="s">
        <v>985</v>
      </c>
      <c r="H8" s="8" t="s">
        <v>986</v>
      </c>
      <c r="I8" s="9" t="s">
        <v>408</v>
      </c>
      <c r="J8" s="9"/>
      <c r="K8" s="8" t="n">
        <v>100</v>
      </c>
      <c r="L8" s="8"/>
      <c r="M8" s="8" t="s">
        <v>993</v>
      </c>
      <c r="N8" s="8" t="n">
        <v>4</v>
      </c>
      <c r="O8" s="7" t="s">
        <v>994</v>
      </c>
    </row>
    <row r="9" customFormat="false" ht="15" hidden="false" customHeight="false" outlineLevel="0" collapsed="false">
      <c r="A9" s="8" t="n">
        <v>8</v>
      </c>
      <c r="B9" s="8" t="n">
        <v>2</v>
      </c>
      <c r="C9" s="8" t="s">
        <v>373</v>
      </c>
      <c r="D9" s="8" t="s">
        <v>995</v>
      </c>
      <c r="E9" s="8" t="s">
        <v>350</v>
      </c>
      <c r="F9" s="8" t="s">
        <v>996</v>
      </c>
      <c r="G9" s="8"/>
      <c r="H9" s="8" t="s">
        <v>997</v>
      </c>
      <c r="I9" s="9" t="s">
        <v>408</v>
      </c>
      <c r="J9" s="9"/>
      <c r="K9" s="8" t="n">
        <v>100</v>
      </c>
      <c r="L9" s="8"/>
      <c r="M9" s="8" t="s">
        <v>998</v>
      </c>
      <c r="N9" s="8" t="n">
        <v>12</v>
      </c>
      <c r="O9" s="7" t="s">
        <v>999</v>
      </c>
    </row>
    <row r="10" customFormat="false" ht="15" hidden="false" customHeight="false" outlineLevel="0" collapsed="false">
      <c r="A10" s="8" t="n">
        <v>9</v>
      </c>
      <c r="B10" s="8" t="n">
        <v>3</v>
      </c>
      <c r="C10" s="8" t="s">
        <v>966</v>
      </c>
      <c r="D10" s="8" t="s">
        <v>1000</v>
      </c>
      <c r="E10" s="8" t="s">
        <v>369</v>
      </c>
      <c r="F10" s="8" t="s">
        <v>1001</v>
      </c>
      <c r="G10" s="8"/>
      <c r="H10" s="8" t="s">
        <v>969</v>
      </c>
      <c r="I10" s="9" t="s">
        <v>408</v>
      </c>
      <c r="J10" s="9"/>
      <c r="K10" s="8" t="n">
        <v>100</v>
      </c>
      <c r="L10" s="8"/>
      <c r="M10" s="8" t="s">
        <v>1002</v>
      </c>
      <c r="N10" s="8" t="n">
        <v>8</v>
      </c>
      <c r="O10" s="7" t="s">
        <v>1003</v>
      </c>
    </row>
    <row r="11" customFormat="false" ht="23.85" hidden="false" customHeight="false" outlineLevel="0" collapsed="false">
      <c r="A11" s="8" t="n">
        <v>10</v>
      </c>
      <c r="B11" s="8" t="n">
        <v>3</v>
      </c>
      <c r="C11" s="8" t="s">
        <v>984</v>
      </c>
      <c r="D11" s="8" t="s">
        <v>1004</v>
      </c>
      <c r="E11" s="8" t="s">
        <v>363</v>
      </c>
      <c r="F11" s="8" t="s">
        <v>1005</v>
      </c>
      <c r="G11" s="8" t="s">
        <v>985</v>
      </c>
      <c r="H11" s="8" t="s">
        <v>1006</v>
      </c>
      <c r="I11" s="9" t="s">
        <v>408</v>
      </c>
      <c r="J11" s="9"/>
      <c r="K11" s="8" t="n">
        <v>100</v>
      </c>
      <c r="L11" s="8"/>
      <c r="M11" s="8" t="s">
        <v>1007</v>
      </c>
      <c r="N11" s="8" t="n">
        <v>4</v>
      </c>
      <c r="O11" s="7" t="s">
        <v>1008</v>
      </c>
    </row>
    <row r="12" customFormat="false" ht="15" hidden="false" customHeight="false" outlineLevel="0" collapsed="false">
      <c r="A12" s="8" t="n">
        <v>11</v>
      </c>
      <c r="B12" s="8" t="n">
        <v>3</v>
      </c>
      <c r="C12" s="8" t="s">
        <v>966</v>
      </c>
      <c r="D12" s="8" t="s">
        <v>1009</v>
      </c>
      <c r="E12" s="8" t="s">
        <v>371</v>
      </c>
      <c r="F12" s="8" t="s">
        <v>1010</v>
      </c>
      <c r="G12" s="8"/>
      <c r="H12" s="8" t="s">
        <v>969</v>
      </c>
      <c r="I12" s="9" t="s">
        <v>408</v>
      </c>
      <c r="J12" s="9"/>
      <c r="K12" s="8" t="n">
        <v>100</v>
      </c>
      <c r="L12" s="8"/>
      <c r="M12" s="8" t="s">
        <v>1011</v>
      </c>
      <c r="N12" s="8" t="n">
        <v>10</v>
      </c>
      <c r="O12" s="7" t="s">
        <v>1012</v>
      </c>
    </row>
    <row r="13" customFormat="false" ht="15" hidden="false" customHeight="false" outlineLevel="0" collapsed="false">
      <c r="A13" s="8" t="n">
        <v>12</v>
      </c>
      <c r="B13" s="8" t="n">
        <v>3</v>
      </c>
      <c r="C13" s="8" t="s">
        <v>984</v>
      </c>
      <c r="D13" s="8" t="s">
        <v>1013</v>
      </c>
      <c r="E13" s="8" t="s">
        <v>365</v>
      </c>
      <c r="F13" s="8" t="s">
        <v>996</v>
      </c>
      <c r="G13" s="8" t="s">
        <v>985</v>
      </c>
      <c r="H13" s="8" t="s">
        <v>1006</v>
      </c>
      <c r="I13" s="9" t="s">
        <v>408</v>
      </c>
      <c r="J13" s="9"/>
      <c r="K13" s="8" t="n">
        <v>100</v>
      </c>
      <c r="L13" s="8"/>
      <c r="M13" s="8" t="s">
        <v>1014</v>
      </c>
      <c r="N13" s="8" t="n">
        <v>4</v>
      </c>
      <c r="O13" s="7" t="s">
        <v>1015</v>
      </c>
    </row>
    <row r="14" customFormat="false" ht="15" hidden="false" customHeight="false" outlineLevel="0" collapsed="false">
      <c r="A14" s="8" t="n">
        <v>13</v>
      </c>
      <c r="B14" s="8" t="n">
        <v>3</v>
      </c>
      <c r="C14" s="8" t="s">
        <v>373</v>
      </c>
      <c r="D14" s="8" t="s">
        <v>1016</v>
      </c>
      <c r="E14" s="8" t="s">
        <v>373</v>
      </c>
      <c r="F14" s="8" t="s">
        <v>996</v>
      </c>
      <c r="G14" s="8"/>
      <c r="H14" s="8" t="s">
        <v>997</v>
      </c>
      <c r="I14" s="9" t="s">
        <v>408</v>
      </c>
      <c r="J14" s="9"/>
      <c r="K14" s="8" t="n">
        <v>100</v>
      </c>
      <c r="L14" s="8"/>
      <c r="M14" s="8" t="s">
        <v>1017</v>
      </c>
      <c r="N14" s="8" t="n">
        <v>12</v>
      </c>
      <c r="O14" s="7" t="s">
        <v>1018</v>
      </c>
    </row>
    <row r="15" customFormat="false" ht="15" hidden="false" customHeight="false" outlineLevel="0" collapsed="false">
      <c r="A15" s="8" t="n">
        <v>14</v>
      </c>
      <c r="B15" s="8" t="n">
        <v>4</v>
      </c>
      <c r="C15" s="8" t="s">
        <v>966</v>
      </c>
      <c r="D15" s="8" t="s">
        <v>1019</v>
      </c>
      <c r="E15" s="8" t="s">
        <v>379</v>
      </c>
      <c r="F15" s="8" t="s">
        <v>1020</v>
      </c>
      <c r="G15" s="8"/>
      <c r="H15" s="8" t="s">
        <v>969</v>
      </c>
      <c r="I15" s="9" t="s">
        <v>408</v>
      </c>
      <c r="J15" s="9"/>
      <c r="K15" s="8" t="n">
        <v>100</v>
      </c>
      <c r="L15" s="8"/>
      <c r="M15" s="8" t="s">
        <v>1021</v>
      </c>
      <c r="N15" s="8" t="n">
        <v>8</v>
      </c>
      <c r="O15" s="7" t="s">
        <v>1022</v>
      </c>
    </row>
    <row r="16" customFormat="false" ht="15" hidden="false" customHeight="false" outlineLevel="0" collapsed="false">
      <c r="A16" s="8" t="n">
        <v>15</v>
      </c>
      <c r="B16" s="8" t="n">
        <v>4</v>
      </c>
      <c r="C16" s="8" t="s">
        <v>984</v>
      </c>
      <c r="D16" s="8" t="s">
        <v>1023</v>
      </c>
      <c r="E16" s="8" t="s">
        <v>376</v>
      </c>
      <c r="F16" s="8" t="s">
        <v>1024</v>
      </c>
      <c r="G16" s="8" t="s">
        <v>985</v>
      </c>
      <c r="H16" s="8" t="s">
        <v>1025</v>
      </c>
      <c r="I16" s="9" t="s">
        <v>408</v>
      </c>
      <c r="J16" s="9"/>
      <c r="K16" s="8" t="n">
        <v>100</v>
      </c>
      <c r="L16" s="8"/>
      <c r="M16" s="8" t="s">
        <v>1026</v>
      </c>
      <c r="N16" s="8" t="n">
        <v>4</v>
      </c>
      <c r="O16" s="7" t="s">
        <v>1027</v>
      </c>
    </row>
    <row r="17" customFormat="false" ht="23.85" hidden="false" customHeight="false" outlineLevel="0" collapsed="false">
      <c r="A17" s="8" t="n">
        <v>16</v>
      </c>
      <c r="B17" s="8" t="n">
        <v>4</v>
      </c>
      <c r="C17" s="8" t="s">
        <v>1028</v>
      </c>
      <c r="D17" s="8" t="s">
        <v>1029</v>
      </c>
      <c r="E17" s="8" t="s">
        <v>377</v>
      </c>
      <c r="F17" s="8" t="s">
        <v>1030</v>
      </c>
      <c r="G17" s="8"/>
      <c r="H17" s="8" t="s">
        <v>1025</v>
      </c>
      <c r="I17" s="9" t="s">
        <v>408</v>
      </c>
      <c r="J17" s="9"/>
      <c r="K17" s="8" t="n">
        <v>100</v>
      </c>
      <c r="L17" s="8"/>
      <c r="M17" s="8" t="s">
        <v>1031</v>
      </c>
      <c r="N17" s="8" t="n">
        <v>15</v>
      </c>
      <c r="O17" s="7" t="s">
        <v>1032</v>
      </c>
    </row>
    <row r="18" customFormat="false" ht="23.85" hidden="false" customHeight="false" outlineLevel="0" collapsed="false">
      <c r="A18" s="8" t="n">
        <v>17</v>
      </c>
      <c r="B18" s="8" t="n">
        <v>4</v>
      </c>
      <c r="C18" s="8" t="s">
        <v>966</v>
      </c>
      <c r="D18" s="8" t="s">
        <v>1033</v>
      </c>
      <c r="E18" s="8" t="s">
        <v>381</v>
      </c>
      <c r="F18" s="8" t="s">
        <v>1034</v>
      </c>
      <c r="G18" s="8"/>
      <c r="H18" s="8" t="s">
        <v>969</v>
      </c>
      <c r="I18" s="9" t="s">
        <v>408</v>
      </c>
      <c r="J18" s="9"/>
      <c r="K18" s="8" t="n">
        <v>100</v>
      </c>
      <c r="L18" s="8"/>
      <c r="M18" s="8" t="s">
        <v>1035</v>
      </c>
      <c r="N18" s="8" t="n">
        <v>8</v>
      </c>
      <c r="O18" s="7" t="s">
        <v>1036</v>
      </c>
    </row>
    <row r="19" customFormat="false" ht="15" hidden="false" customHeight="false" outlineLevel="0" collapsed="false">
      <c r="A19" s="8" t="n">
        <v>18</v>
      </c>
      <c r="B19" s="8" t="n">
        <v>4</v>
      </c>
      <c r="C19" s="8" t="s">
        <v>984</v>
      </c>
      <c r="D19" s="8" t="s">
        <v>1037</v>
      </c>
      <c r="E19" s="8" t="s">
        <v>376</v>
      </c>
      <c r="F19" s="8" t="s">
        <v>1038</v>
      </c>
      <c r="G19" s="8" t="s">
        <v>985</v>
      </c>
      <c r="H19" s="8" t="s">
        <v>1025</v>
      </c>
      <c r="I19" s="9" t="s">
        <v>408</v>
      </c>
      <c r="J19" s="9"/>
      <c r="K19" s="8" t="n">
        <v>100</v>
      </c>
      <c r="L19" s="8"/>
      <c r="M19" s="8" t="s">
        <v>1039</v>
      </c>
      <c r="N19" s="8" t="n">
        <v>4</v>
      </c>
      <c r="O19" s="7" t="s">
        <v>1040</v>
      </c>
    </row>
    <row r="20" customFormat="false" ht="15" hidden="false" customHeight="false" outlineLevel="0" collapsed="false">
      <c r="A20" s="8" t="n">
        <v>19</v>
      </c>
      <c r="B20" s="8" t="n">
        <v>4</v>
      </c>
      <c r="C20" s="8" t="s">
        <v>373</v>
      </c>
      <c r="D20" s="8" t="s">
        <v>1041</v>
      </c>
      <c r="E20" s="8" t="s">
        <v>383</v>
      </c>
      <c r="F20" s="8" t="s">
        <v>1042</v>
      </c>
      <c r="G20" s="8"/>
      <c r="H20" s="8" t="s">
        <v>969</v>
      </c>
      <c r="I20" s="9" t="s">
        <v>408</v>
      </c>
      <c r="J20" s="9"/>
      <c r="K20" s="8" t="n">
        <v>100</v>
      </c>
      <c r="L20" s="8"/>
      <c r="M20" s="8" t="s">
        <v>1043</v>
      </c>
      <c r="N20" s="8" t="n">
        <v>10</v>
      </c>
      <c r="O20" s="7" t="s">
        <v>1044</v>
      </c>
    </row>
    <row r="21" customFormat="false" ht="15" hidden="false" customHeight="false" outlineLevel="0" collapsed="false">
      <c r="A21" s="8" t="n">
        <v>20</v>
      </c>
      <c r="B21" s="8" t="n">
        <v>6</v>
      </c>
      <c r="C21" s="8" t="s">
        <v>1045</v>
      </c>
      <c r="D21" s="8" t="s">
        <v>1046</v>
      </c>
      <c r="E21" s="8" t="s">
        <v>388</v>
      </c>
      <c r="F21" s="8" t="s">
        <v>1047</v>
      </c>
      <c r="G21" s="8" t="s">
        <v>1048</v>
      </c>
      <c r="H21" s="8" t="s">
        <v>1049</v>
      </c>
      <c r="I21" s="9" t="s">
        <v>408</v>
      </c>
      <c r="J21" s="9"/>
      <c r="K21" s="8" t="n">
        <v>100</v>
      </c>
      <c r="L21" s="8"/>
      <c r="M21" s="8" t="s">
        <v>1050</v>
      </c>
      <c r="N21" s="8" t="n">
        <v>1</v>
      </c>
      <c r="O21" s="7" t="s">
        <v>1051</v>
      </c>
    </row>
  </sheetData>
  <autoFilter ref="A1:O21"/>
  <dataValidations count="2">
    <dataValidation allowBlank="true" error="Pick a value from the list" errorStyle="stop" errorTitle="Invalid value" operator="between" showDropDown="false" showErrorMessage="false" showInputMessage="false" sqref="C2:C1021" type="list">
      <formula1>"Assignment,Quiz,Midterm,Final,Lab Report,Project,Presentation,Practical Lab Assessment"</formula1>
      <formula2>0</formula2>
    </dataValidation>
    <dataValidation allowBlank="true" error="Pick a value from the list" errorStyle="stop" errorTitle="Invalid value" operator="between" showDropDown="false" showErrorMessage="false" showInputMessage="false" sqref="I2:I1021" type="list">
      <formula1>"Not Started,In Progress,Submitted,Graded"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8" min="5" style="0" width="12"/>
    <col collapsed="false" customWidth="true" hidden="false" outlineLevel="0" max="9" min="9" style="0" width="14"/>
    <col collapsed="false" customWidth="true" hidden="false" outlineLevel="0" max="10" min="10" style="0" width="80"/>
    <col collapsed="false" customWidth="true" hidden="false" outlineLevel="0" max="11" min="11" style="0" width="70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80"/>
  </cols>
  <sheetData>
    <row r="1" customFormat="false" ht="15" hidden="false" customHeight="false" outlineLevel="0" collapsed="false">
      <c r="A1" s="3" t="s">
        <v>1052</v>
      </c>
      <c r="B1" s="3" t="s">
        <v>2</v>
      </c>
      <c r="C1" s="3" t="s">
        <v>1053</v>
      </c>
      <c r="D1" s="3" t="s">
        <v>396</v>
      </c>
      <c r="E1" s="3" t="s">
        <v>1054</v>
      </c>
      <c r="F1" s="3" t="s">
        <v>1055</v>
      </c>
      <c r="G1" s="3" t="s">
        <v>1056</v>
      </c>
      <c r="H1" s="3" t="s">
        <v>1057</v>
      </c>
      <c r="I1" s="3" t="s">
        <v>1058</v>
      </c>
      <c r="J1" s="3" t="s">
        <v>1059</v>
      </c>
      <c r="K1" s="3" t="s">
        <v>400</v>
      </c>
      <c r="L1" s="3" t="s">
        <v>1060</v>
      </c>
      <c r="M1" s="3" t="s">
        <v>1061</v>
      </c>
      <c r="N1" s="3" t="s">
        <v>60</v>
      </c>
    </row>
    <row r="2" customFormat="false" ht="23.85" hidden="false" customHeight="false" outlineLevel="0" collapsed="false">
      <c r="A2" s="8" t="n">
        <v>1</v>
      </c>
      <c r="B2" s="8" t="n">
        <v>1</v>
      </c>
      <c r="C2" s="8" t="s">
        <v>934</v>
      </c>
      <c r="D2" s="8" t="s">
        <v>1062</v>
      </c>
      <c r="E2" s="8" t="s">
        <v>1063</v>
      </c>
      <c r="F2" s="8" t="s">
        <v>1064</v>
      </c>
      <c r="G2" s="8" t="s">
        <v>985</v>
      </c>
      <c r="H2" s="8" t="s">
        <v>1065</v>
      </c>
      <c r="I2" s="8" t="s">
        <v>1066</v>
      </c>
      <c r="J2" s="7" t="s">
        <v>1067</v>
      </c>
      <c r="K2" s="8" t="s">
        <v>1068</v>
      </c>
      <c r="L2" s="9" t="s">
        <v>1069</v>
      </c>
      <c r="M2" s="8"/>
      <c r="N2" s="7" t="s">
        <v>1070</v>
      </c>
    </row>
    <row r="3" customFormat="false" ht="23.85" hidden="false" customHeight="false" outlineLevel="0" collapsed="false">
      <c r="A3" s="8" t="n">
        <v>2</v>
      </c>
      <c r="B3" s="8" t="n">
        <v>1</v>
      </c>
      <c r="C3" s="8" t="s">
        <v>936</v>
      </c>
      <c r="D3" s="8" t="s">
        <v>1071</v>
      </c>
      <c r="E3" s="8" t="s">
        <v>1063</v>
      </c>
      <c r="F3" s="8" t="s">
        <v>1072</v>
      </c>
      <c r="G3" s="8" t="s">
        <v>985</v>
      </c>
      <c r="H3" s="8" t="s">
        <v>1065</v>
      </c>
      <c r="I3" s="8" t="s">
        <v>1073</v>
      </c>
      <c r="J3" s="7" t="s">
        <v>1067</v>
      </c>
      <c r="K3" s="8" t="s">
        <v>1074</v>
      </c>
      <c r="L3" s="9" t="s">
        <v>1069</v>
      </c>
      <c r="M3" s="8"/>
      <c r="N3" s="7" t="s">
        <v>1075</v>
      </c>
    </row>
    <row r="4" customFormat="false" ht="23.85" hidden="false" customHeight="false" outlineLevel="0" collapsed="false">
      <c r="A4" s="8" t="n">
        <v>3</v>
      </c>
      <c r="B4" s="8" t="n">
        <v>1</v>
      </c>
      <c r="C4" s="8" t="s">
        <v>938</v>
      </c>
      <c r="D4" s="8" t="s">
        <v>1076</v>
      </c>
      <c r="E4" s="8" t="s">
        <v>1063</v>
      </c>
      <c r="F4" s="8" t="s">
        <v>1077</v>
      </c>
      <c r="G4" s="8" t="s">
        <v>985</v>
      </c>
      <c r="H4" s="8" t="s">
        <v>1065</v>
      </c>
      <c r="I4" s="8" t="s">
        <v>1078</v>
      </c>
      <c r="J4" s="7" t="s">
        <v>1067</v>
      </c>
      <c r="K4" s="8" t="s">
        <v>1079</v>
      </c>
      <c r="L4" s="9" t="s">
        <v>1069</v>
      </c>
      <c r="M4" s="8"/>
      <c r="N4" s="7" t="s">
        <v>1080</v>
      </c>
    </row>
    <row r="5" customFormat="false" ht="23.85" hidden="false" customHeight="false" outlineLevel="0" collapsed="false">
      <c r="A5" s="8" t="n">
        <v>4</v>
      </c>
      <c r="B5" s="8" t="n">
        <v>1</v>
      </c>
      <c r="C5" s="8" t="s">
        <v>940</v>
      </c>
      <c r="D5" s="8" t="s">
        <v>1081</v>
      </c>
      <c r="E5" s="8" t="s">
        <v>1063</v>
      </c>
      <c r="F5" s="8" t="s">
        <v>1082</v>
      </c>
      <c r="G5" s="8" t="s">
        <v>985</v>
      </c>
      <c r="H5" s="8" t="s">
        <v>1065</v>
      </c>
      <c r="I5" s="8" t="s">
        <v>1083</v>
      </c>
      <c r="J5" s="7" t="s">
        <v>1067</v>
      </c>
      <c r="K5" s="8" t="s">
        <v>1084</v>
      </c>
      <c r="L5" s="9" t="s">
        <v>1069</v>
      </c>
      <c r="M5" s="8"/>
      <c r="N5" s="7" t="s">
        <v>1085</v>
      </c>
    </row>
    <row r="6" customFormat="false" ht="23.85" hidden="false" customHeight="false" outlineLevel="0" collapsed="false">
      <c r="A6" s="8" t="n">
        <v>5</v>
      </c>
      <c r="B6" s="8" t="n">
        <v>1</v>
      </c>
      <c r="C6" s="8" t="s">
        <v>942</v>
      </c>
      <c r="D6" s="8" t="s">
        <v>1086</v>
      </c>
      <c r="E6" s="8" t="s">
        <v>1063</v>
      </c>
      <c r="F6" s="8" t="s">
        <v>1087</v>
      </c>
      <c r="G6" s="8" t="s">
        <v>985</v>
      </c>
      <c r="H6" s="8" t="s">
        <v>1065</v>
      </c>
      <c r="I6" s="8" t="s">
        <v>1088</v>
      </c>
      <c r="J6" s="7" t="s">
        <v>1067</v>
      </c>
      <c r="K6" s="8" t="s">
        <v>1089</v>
      </c>
      <c r="L6" s="9" t="s">
        <v>1069</v>
      </c>
      <c r="M6" s="8"/>
      <c r="N6" s="7" t="s">
        <v>1090</v>
      </c>
    </row>
    <row r="7" customFormat="false" ht="23.85" hidden="false" customHeight="false" outlineLevel="0" collapsed="false">
      <c r="A7" s="8" t="n">
        <v>6</v>
      </c>
      <c r="B7" s="8" t="n">
        <v>1</v>
      </c>
      <c r="C7" s="8" t="s">
        <v>908</v>
      </c>
      <c r="D7" s="8" t="s">
        <v>1091</v>
      </c>
      <c r="E7" s="8" t="s">
        <v>1063</v>
      </c>
      <c r="F7" s="8" t="s">
        <v>1092</v>
      </c>
      <c r="G7" s="8" t="s">
        <v>985</v>
      </c>
      <c r="H7" s="8" t="s">
        <v>1065</v>
      </c>
      <c r="I7" s="8" t="s">
        <v>1093</v>
      </c>
      <c r="J7" s="7" t="s">
        <v>1067</v>
      </c>
      <c r="K7" s="8" t="s">
        <v>1094</v>
      </c>
      <c r="L7" s="9" t="s">
        <v>1069</v>
      </c>
      <c r="M7" s="8"/>
      <c r="N7" s="7" t="s">
        <v>1080</v>
      </c>
    </row>
    <row r="8" customFormat="false" ht="23.85" hidden="false" customHeight="false" outlineLevel="0" collapsed="false">
      <c r="A8" s="8" t="n">
        <v>7</v>
      </c>
      <c r="B8" s="8" t="n">
        <v>1</v>
      </c>
      <c r="C8" s="8" t="s">
        <v>915</v>
      </c>
      <c r="D8" s="8" t="s">
        <v>1095</v>
      </c>
      <c r="E8" s="8" t="s">
        <v>1063</v>
      </c>
      <c r="F8" s="8" t="s">
        <v>1030</v>
      </c>
      <c r="G8" s="8" t="s">
        <v>985</v>
      </c>
      <c r="H8" s="8" t="s">
        <v>1065</v>
      </c>
      <c r="I8" s="8" t="s">
        <v>1096</v>
      </c>
      <c r="J8" s="7" t="s">
        <v>1067</v>
      </c>
      <c r="K8" s="8" t="s">
        <v>1097</v>
      </c>
      <c r="L8" s="9" t="s">
        <v>1069</v>
      </c>
      <c r="M8" s="8"/>
      <c r="N8" s="7" t="s">
        <v>1098</v>
      </c>
    </row>
    <row r="9" customFormat="false" ht="23.85" hidden="false" customHeight="false" outlineLevel="0" collapsed="false">
      <c r="A9" s="8" t="n">
        <v>8</v>
      </c>
      <c r="B9" s="8" t="n">
        <v>1</v>
      </c>
      <c r="C9" s="8" t="s">
        <v>1099</v>
      </c>
      <c r="D9" s="8" t="s">
        <v>1100</v>
      </c>
      <c r="E9" s="8" t="s">
        <v>1101</v>
      </c>
      <c r="F9" s="8" t="s">
        <v>1102</v>
      </c>
      <c r="G9" s="8" t="s">
        <v>985</v>
      </c>
      <c r="H9" s="8" t="s">
        <v>1065</v>
      </c>
      <c r="I9" s="8" t="s">
        <v>1103</v>
      </c>
      <c r="J9" s="7" t="s">
        <v>1067</v>
      </c>
      <c r="K9" s="8"/>
      <c r="L9" s="9" t="s">
        <v>1104</v>
      </c>
      <c r="M9" s="8"/>
      <c r="N9" s="7"/>
    </row>
    <row r="10" customFormat="false" ht="23.85" hidden="false" customHeight="false" outlineLevel="0" collapsed="false">
      <c r="A10" s="8" t="n">
        <v>9</v>
      </c>
      <c r="B10" s="8" t="n">
        <v>2</v>
      </c>
      <c r="C10" s="8" t="s">
        <v>1105</v>
      </c>
      <c r="D10" s="8" t="s">
        <v>1106</v>
      </c>
      <c r="E10" s="8" t="s">
        <v>1063</v>
      </c>
      <c r="F10" s="8" t="s">
        <v>1107</v>
      </c>
      <c r="G10" s="8" t="s">
        <v>985</v>
      </c>
      <c r="H10" s="8" t="s">
        <v>986</v>
      </c>
      <c r="I10" s="8" t="s">
        <v>1108</v>
      </c>
      <c r="J10" s="7" t="s">
        <v>1109</v>
      </c>
      <c r="K10" s="8" t="s">
        <v>141</v>
      </c>
      <c r="L10" s="9" t="s">
        <v>1069</v>
      </c>
      <c r="M10" s="8"/>
      <c r="N10" s="7" t="s">
        <v>1110</v>
      </c>
    </row>
    <row r="11" customFormat="false" ht="23.85" hidden="false" customHeight="false" outlineLevel="0" collapsed="false">
      <c r="A11" s="8" t="n">
        <v>10</v>
      </c>
      <c r="B11" s="8" t="n">
        <v>2</v>
      </c>
      <c r="C11" s="8" t="s">
        <v>1111</v>
      </c>
      <c r="D11" s="8" t="s">
        <v>1112</v>
      </c>
      <c r="E11" s="8" t="s">
        <v>1063</v>
      </c>
      <c r="F11" s="8" t="s">
        <v>1047</v>
      </c>
      <c r="G11" s="8" t="s">
        <v>985</v>
      </c>
      <c r="H11" s="8" t="s">
        <v>986</v>
      </c>
      <c r="I11" s="8" t="s">
        <v>1113</v>
      </c>
      <c r="J11" s="7" t="s">
        <v>1109</v>
      </c>
      <c r="K11" s="8" t="s">
        <v>144</v>
      </c>
      <c r="L11" s="9" t="s">
        <v>1069</v>
      </c>
      <c r="M11" s="8"/>
      <c r="N11" s="7" t="s">
        <v>1114</v>
      </c>
    </row>
    <row r="12" customFormat="false" ht="23.85" hidden="false" customHeight="false" outlineLevel="0" collapsed="false">
      <c r="A12" s="8" t="n">
        <v>11</v>
      </c>
      <c r="B12" s="8" t="n">
        <v>2</v>
      </c>
      <c r="C12" s="8" t="s">
        <v>1115</v>
      </c>
      <c r="D12" s="8" t="s">
        <v>1116</v>
      </c>
      <c r="E12" s="8" t="s">
        <v>1063</v>
      </c>
      <c r="F12" s="8" t="s">
        <v>1117</v>
      </c>
      <c r="G12" s="8" t="s">
        <v>985</v>
      </c>
      <c r="H12" s="8" t="s">
        <v>986</v>
      </c>
      <c r="I12" s="8" t="s">
        <v>1118</v>
      </c>
      <c r="J12" s="7" t="s">
        <v>1109</v>
      </c>
      <c r="K12" s="8" t="s">
        <v>150</v>
      </c>
      <c r="L12" s="9" t="s">
        <v>1069</v>
      </c>
      <c r="M12" s="8"/>
      <c r="N12" s="7"/>
    </row>
    <row r="13" customFormat="false" ht="23.85" hidden="false" customHeight="false" outlineLevel="0" collapsed="false">
      <c r="A13" s="8" t="n">
        <v>12</v>
      </c>
      <c r="B13" s="8" t="n">
        <v>2</v>
      </c>
      <c r="C13" s="8" t="s">
        <v>1119</v>
      </c>
      <c r="D13" s="8" t="s">
        <v>1120</v>
      </c>
      <c r="E13" s="8" t="s">
        <v>1063</v>
      </c>
      <c r="F13" s="8" t="s">
        <v>1121</v>
      </c>
      <c r="G13" s="8" t="s">
        <v>985</v>
      </c>
      <c r="H13" s="8" t="s">
        <v>986</v>
      </c>
      <c r="I13" s="8" t="s">
        <v>1122</v>
      </c>
      <c r="J13" s="7" t="s">
        <v>1109</v>
      </c>
      <c r="K13" s="8" t="s">
        <v>154</v>
      </c>
      <c r="L13" s="9" t="s">
        <v>1069</v>
      </c>
      <c r="M13" s="8"/>
      <c r="N13" s="7"/>
    </row>
    <row r="14" customFormat="false" ht="23.85" hidden="false" customHeight="false" outlineLevel="0" collapsed="false">
      <c r="A14" s="8" t="n">
        <v>13</v>
      </c>
      <c r="B14" s="8" t="n">
        <v>2</v>
      </c>
      <c r="C14" s="8" t="s">
        <v>1123</v>
      </c>
      <c r="D14" s="8" t="s">
        <v>1124</v>
      </c>
      <c r="E14" s="8" t="s">
        <v>1063</v>
      </c>
      <c r="F14" s="8" t="s">
        <v>1020</v>
      </c>
      <c r="G14" s="8" t="s">
        <v>985</v>
      </c>
      <c r="H14" s="8" t="s">
        <v>986</v>
      </c>
      <c r="I14" s="8" t="s">
        <v>1001</v>
      </c>
      <c r="J14" s="7" t="s">
        <v>1109</v>
      </c>
      <c r="K14" s="8" t="s">
        <v>158</v>
      </c>
      <c r="L14" s="9" t="s">
        <v>1069</v>
      </c>
      <c r="M14" s="8"/>
      <c r="N14" s="7"/>
    </row>
    <row r="15" customFormat="false" ht="23.85" hidden="false" customHeight="false" outlineLevel="0" collapsed="false">
      <c r="A15" s="8" t="n">
        <v>14</v>
      </c>
      <c r="B15" s="8" t="n">
        <v>2</v>
      </c>
      <c r="C15" s="8" t="s">
        <v>1125</v>
      </c>
      <c r="D15" s="8" t="s">
        <v>1126</v>
      </c>
      <c r="E15" s="8" t="s">
        <v>1127</v>
      </c>
      <c r="F15" s="8" t="s">
        <v>981</v>
      </c>
      <c r="G15" s="8" t="s">
        <v>985</v>
      </c>
      <c r="H15" s="8" t="s">
        <v>986</v>
      </c>
      <c r="I15" s="8" t="s">
        <v>1128</v>
      </c>
      <c r="J15" s="7" t="s">
        <v>1109</v>
      </c>
      <c r="K15" s="8"/>
      <c r="L15" s="9" t="s">
        <v>1069</v>
      </c>
      <c r="M15" s="8"/>
      <c r="N15" s="7" t="s">
        <v>1129</v>
      </c>
    </row>
    <row r="16" customFormat="false" ht="23.85" hidden="false" customHeight="false" outlineLevel="0" collapsed="false">
      <c r="A16" s="8" t="n">
        <v>15</v>
      </c>
      <c r="B16" s="8" t="n">
        <v>2</v>
      </c>
      <c r="C16" s="8" t="s">
        <v>1130</v>
      </c>
      <c r="D16" s="8" t="s">
        <v>1131</v>
      </c>
      <c r="E16" s="8" t="s">
        <v>1063</v>
      </c>
      <c r="F16" s="8" t="s">
        <v>1132</v>
      </c>
      <c r="G16" s="8" t="s">
        <v>985</v>
      </c>
      <c r="H16" s="8" t="s">
        <v>986</v>
      </c>
      <c r="I16" s="8" t="s">
        <v>1133</v>
      </c>
      <c r="J16" s="7" t="s">
        <v>1109</v>
      </c>
      <c r="K16" s="8" t="s">
        <v>162</v>
      </c>
      <c r="L16" s="9" t="s">
        <v>1069</v>
      </c>
      <c r="M16" s="8"/>
      <c r="N16" s="7" t="s">
        <v>1134</v>
      </c>
    </row>
    <row r="17" customFormat="false" ht="23.85" hidden="false" customHeight="false" outlineLevel="0" collapsed="false">
      <c r="A17" s="8" t="n">
        <v>16</v>
      </c>
      <c r="B17" s="8" t="n">
        <v>2</v>
      </c>
      <c r="C17" s="8" t="s">
        <v>1135</v>
      </c>
      <c r="D17" s="8" t="s">
        <v>1136</v>
      </c>
      <c r="E17" s="8" t="s">
        <v>1063</v>
      </c>
      <c r="F17" s="8" t="s">
        <v>1137</v>
      </c>
      <c r="G17" s="8" t="s">
        <v>985</v>
      </c>
      <c r="H17" s="8" t="s">
        <v>986</v>
      </c>
      <c r="I17" s="8" t="s">
        <v>1005</v>
      </c>
      <c r="J17" s="7" t="s">
        <v>1109</v>
      </c>
      <c r="K17" s="8" t="s">
        <v>166</v>
      </c>
      <c r="L17" s="9" t="s">
        <v>1069</v>
      </c>
      <c r="M17" s="8"/>
      <c r="N17" s="7" t="s">
        <v>1138</v>
      </c>
    </row>
    <row r="18" customFormat="false" ht="23.85" hidden="false" customHeight="false" outlineLevel="0" collapsed="false">
      <c r="A18" s="8" t="n">
        <v>17</v>
      </c>
      <c r="B18" s="8" t="n">
        <v>2</v>
      </c>
      <c r="C18" s="8" t="s">
        <v>1139</v>
      </c>
      <c r="D18" s="8" t="s">
        <v>1140</v>
      </c>
      <c r="E18" s="8" t="s">
        <v>1063</v>
      </c>
      <c r="F18" s="8" t="s">
        <v>989</v>
      </c>
      <c r="G18" s="8" t="s">
        <v>985</v>
      </c>
      <c r="H18" s="8" t="s">
        <v>986</v>
      </c>
      <c r="I18" s="8" t="s">
        <v>1141</v>
      </c>
      <c r="J18" s="7" t="s">
        <v>1109</v>
      </c>
      <c r="K18" s="8" t="s">
        <v>170</v>
      </c>
      <c r="L18" s="9" t="s">
        <v>1069</v>
      </c>
      <c r="M18" s="8"/>
      <c r="N18" s="7"/>
    </row>
    <row r="19" customFormat="false" ht="23.85" hidden="false" customHeight="false" outlineLevel="0" collapsed="false">
      <c r="A19" s="8" t="n">
        <v>18</v>
      </c>
      <c r="B19" s="8" t="n">
        <v>2</v>
      </c>
      <c r="C19" s="8" t="s">
        <v>1142</v>
      </c>
      <c r="D19" s="8" t="s">
        <v>1143</v>
      </c>
      <c r="E19" s="8" t="s">
        <v>1127</v>
      </c>
      <c r="F19" s="8" t="s">
        <v>992</v>
      </c>
      <c r="G19" s="8" t="s">
        <v>985</v>
      </c>
      <c r="H19" s="8" t="s">
        <v>986</v>
      </c>
      <c r="I19" s="8" t="s">
        <v>1010</v>
      </c>
      <c r="J19" s="7" t="s">
        <v>1109</v>
      </c>
      <c r="K19" s="8"/>
      <c r="L19" s="9" t="s">
        <v>1069</v>
      </c>
      <c r="M19" s="8"/>
      <c r="N19" s="7" t="s">
        <v>1144</v>
      </c>
    </row>
    <row r="20" customFormat="false" ht="23.85" hidden="false" customHeight="false" outlineLevel="0" collapsed="false">
      <c r="A20" s="8" t="n">
        <v>19</v>
      </c>
      <c r="B20" s="8" t="n">
        <v>2</v>
      </c>
      <c r="C20" s="8" t="s">
        <v>1099</v>
      </c>
      <c r="D20" s="8" t="s">
        <v>1145</v>
      </c>
      <c r="E20" s="8" t="s">
        <v>1101</v>
      </c>
      <c r="F20" s="8" t="s">
        <v>1034</v>
      </c>
      <c r="G20" s="8" t="s">
        <v>985</v>
      </c>
      <c r="H20" s="8" t="s">
        <v>986</v>
      </c>
      <c r="I20" s="8" t="s">
        <v>1146</v>
      </c>
      <c r="J20" s="7" t="s">
        <v>1109</v>
      </c>
      <c r="K20" s="8"/>
      <c r="L20" s="9" t="s">
        <v>1104</v>
      </c>
      <c r="M20" s="8"/>
      <c r="N20" s="7" t="s">
        <v>1147</v>
      </c>
    </row>
    <row r="21" customFormat="false" ht="23.85" hidden="false" customHeight="false" outlineLevel="0" collapsed="false">
      <c r="A21" s="8" t="n">
        <v>20</v>
      </c>
      <c r="B21" s="8" t="n">
        <v>2</v>
      </c>
      <c r="C21" s="8" t="s">
        <v>1148</v>
      </c>
      <c r="D21" s="8" t="s">
        <v>1149</v>
      </c>
      <c r="E21" s="8" t="s">
        <v>1150</v>
      </c>
      <c r="F21" s="8" t="s">
        <v>1151</v>
      </c>
      <c r="G21" s="8" t="s">
        <v>985</v>
      </c>
      <c r="H21" s="8" t="s">
        <v>986</v>
      </c>
      <c r="I21" s="8" t="s">
        <v>1152</v>
      </c>
      <c r="J21" s="7" t="s">
        <v>1109</v>
      </c>
      <c r="K21" s="8" t="s">
        <v>1153</v>
      </c>
      <c r="L21" s="9" t="s">
        <v>1069</v>
      </c>
      <c r="M21" s="8"/>
      <c r="N21" s="7" t="s">
        <v>1154</v>
      </c>
    </row>
    <row r="22" customFormat="false" ht="23.85" hidden="false" customHeight="false" outlineLevel="0" collapsed="false">
      <c r="A22" s="8" t="n">
        <v>21</v>
      </c>
      <c r="B22" s="8" t="n">
        <v>2</v>
      </c>
      <c r="C22" s="8" t="s">
        <v>1148</v>
      </c>
      <c r="D22" s="8" t="s">
        <v>1149</v>
      </c>
      <c r="E22" s="8" t="s">
        <v>1150</v>
      </c>
      <c r="F22" s="8" t="s">
        <v>1155</v>
      </c>
      <c r="G22" s="8" t="s">
        <v>985</v>
      </c>
      <c r="H22" s="8" t="s">
        <v>986</v>
      </c>
      <c r="I22" s="8" t="s">
        <v>1156</v>
      </c>
      <c r="J22" s="7" t="s">
        <v>1109</v>
      </c>
      <c r="K22" s="8" t="s">
        <v>1153</v>
      </c>
      <c r="L22" s="9" t="s">
        <v>1069</v>
      </c>
      <c r="M22" s="8"/>
      <c r="N22" s="7" t="s">
        <v>1154</v>
      </c>
    </row>
    <row r="23" customFormat="false" ht="23.85" hidden="false" customHeight="false" outlineLevel="0" collapsed="false">
      <c r="A23" s="8" t="n">
        <v>22</v>
      </c>
      <c r="B23" s="8" t="n">
        <v>2</v>
      </c>
      <c r="C23" s="8" t="s">
        <v>1148</v>
      </c>
      <c r="D23" s="8" t="s">
        <v>1149</v>
      </c>
      <c r="E23" s="8" t="s">
        <v>1150</v>
      </c>
      <c r="F23" s="8" t="s">
        <v>1157</v>
      </c>
      <c r="G23" s="8" t="s">
        <v>985</v>
      </c>
      <c r="H23" s="8" t="s">
        <v>986</v>
      </c>
      <c r="I23" s="8" t="s">
        <v>1158</v>
      </c>
      <c r="J23" s="7" t="s">
        <v>1109</v>
      </c>
      <c r="K23" s="8" t="s">
        <v>1153</v>
      </c>
      <c r="L23" s="9" t="s">
        <v>1069</v>
      </c>
      <c r="M23" s="8"/>
      <c r="N23" s="7" t="s">
        <v>1154</v>
      </c>
    </row>
    <row r="24" customFormat="false" ht="23.85" hidden="false" customHeight="false" outlineLevel="0" collapsed="false">
      <c r="A24" s="8" t="n">
        <v>23</v>
      </c>
      <c r="B24" s="8" t="n">
        <v>2</v>
      </c>
      <c r="C24" s="8" t="s">
        <v>1159</v>
      </c>
      <c r="D24" s="8" t="s">
        <v>1160</v>
      </c>
      <c r="E24" s="8" t="s">
        <v>1063</v>
      </c>
      <c r="F24" s="8" t="s">
        <v>1042</v>
      </c>
      <c r="G24" s="8" t="s">
        <v>985</v>
      </c>
      <c r="H24" s="8" t="s">
        <v>986</v>
      </c>
      <c r="I24" s="8" t="s">
        <v>1161</v>
      </c>
      <c r="J24" s="7" t="s">
        <v>1109</v>
      </c>
      <c r="K24" s="8" t="s">
        <v>186</v>
      </c>
      <c r="L24" s="9" t="s">
        <v>1069</v>
      </c>
      <c r="M24" s="8"/>
      <c r="N24" s="7" t="s">
        <v>1162</v>
      </c>
    </row>
    <row r="25" customFormat="false" ht="23.85" hidden="false" customHeight="false" outlineLevel="0" collapsed="false">
      <c r="A25" s="8" t="n">
        <v>24</v>
      </c>
      <c r="B25" s="8" t="n">
        <v>3</v>
      </c>
      <c r="C25" s="8" t="s">
        <v>1111</v>
      </c>
      <c r="D25" s="8" t="s">
        <v>1163</v>
      </c>
      <c r="E25" s="8" t="s">
        <v>1063</v>
      </c>
      <c r="F25" s="8" t="s">
        <v>1118</v>
      </c>
      <c r="G25" s="8" t="s">
        <v>985</v>
      </c>
      <c r="H25" s="8" t="s">
        <v>1006</v>
      </c>
      <c r="I25" s="8" t="s">
        <v>1164</v>
      </c>
      <c r="J25" s="7" t="s">
        <v>1165</v>
      </c>
      <c r="K25" s="8" t="s">
        <v>226</v>
      </c>
      <c r="L25" s="9" t="s">
        <v>1069</v>
      </c>
      <c r="M25" s="8"/>
      <c r="N25" s="7" t="s">
        <v>1166</v>
      </c>
    </row>
    <row r="26" customFormat="false" ht="23.85" hidden="false" customHeight="false" outlineLevel="0" collapsed="false">
      <c r="A26" s="8" t="n">
        <v>25</v>
      </c>
      <c r="B26" s="8" t="n">
        <v>3</v>
      </c>
      <c r="C26" s="8" t="s">
        <v>1115</v>
      </c>
      <c r="D26" s="8" t="s">
        <v>1167</v>
      </c>
      <c r="E26" s="8" t="s">
        <v>1063</v>
      </c>
      <c r="F26" s="8" t="s">
        <v>1122</v>
      </c>
      <c r="G26" s="8" t="s">
        <v>985</v>
      </c>
      <c r="H26" s="8" t="s">
        <v>1006</v>
      </c>
      <c r="I26" s="8" t="s">
        <v>1168</v>
      </c>
      <c r="J26" s="7" t="s">
        <v>1165</v>
      </c>
      <c r="K26" s="8" t="s">
        <v>228</v>
      </c>
      <c r="L26" s="9" t="s">
        <v>1069</v>
      </c>
      <c r="M26" s="8"/>
      <c r="N26" s="7" t="s">
        <v>1169</v>
      </c>
    </row>
    <row r="27" customFormat="false" ht="23.85" hidden="false" customHeight="false" outlineLevel="0" collapsed="false">
      <c r="A27" s="8" t="n">
        <v>26</v>
      </c>
      <c r="B27" s="8" t="n">
        <v>3</v>
      </c>
      <c r="C27" s="8" t="s">
        <v>1119</v>
      </c>
      <c r="D27" s="8" t="s">
        <v>1170</v>
      </c>
      <c r="E27" s="8" t="s">
        <v>1063</v>
      </c>
      <c r="F27" s="8" t="s">
        <v>1001</v>
      </c>
      <c r="G27" s="8" t="s">
        <v>985</v>
      </c>
      <c r="H27" s="8" t="s">
        <v>1006</v>
      </c>
      <c r="I27" s="8" t="s">
        <v>1171</v>
      </c>
      <c r="J27" s="7" t="s">
        <v>1165</v>
      </c>
      <c r="K27" s="8" t="s">
        <v>230</v>
      </c>
      <c r="L27" s="9" t="s">
        <v>1069</v>
      </c>
      <c r="M27" s="8"/>
      <c r="N27" s="7" t="s">
        <v>1169</v>
      </c>
    </row>
    <row r="28" customFormat="false" ht="23.85" hidden="false" customHeight="false" outlineLevel="0" collapsed="false">
      <c r="A28" s="8" t="n">
        <v>27</v>
      </c>
      <c r="B28" s="8" t="n">
        <v>3</v>
      </c>
      <c r="C28" s="8" t="s">
        <v>1123</v>
      </c>
      <c r="D28" s="8" t="s">
        <v>1172</v>
      </c>
      <c r="E28" s="8" t="s">
        <v>1063</v>
      </c>
      <c r="F28" s="8" t="s">
        <v>1128</v>
      </c>
      <c r="G28" s="8" t="s">
        <v>985</v>
      </c>
      <c r="H28" s="8" t="s">
        <v>1006</v>
      </c>
      <c r="I28" s="8" t="s">
        <v>1173</v>
      </c>
      <c r="J28" s="7" t="s">
        <v>1165</v>
      </c>
      <c r="K28" s="8" t="s">
        <v>232</v>
      </c>
      <c r="L28" s="9" t="s">
        <v>1069</v>
      </c>
      <c r="M28" s="8"/>
      <c r="N28" s="7" t="s">
        <v>1174</v>
      </c>
    </row>
    <row r="29" customFormat="false" ht="23.85" hidden="false" customHeight="false" outlineLevel="0" collapsed="false">
      <c r="A29" s="8" t="n">
        <v>28</v>
      </c>
      <c r="B29" s="8" t="n">
        <v>3</v>
      </c>
      <c r="C29" s="8" t="s">
        <v>1099</v>
      </c>
      <c r="D29" s="8" t="s">
        <v>1175</v>
      </c>
      <c r="E29" s="8" t="s">
        <v>1101</v>
      </c>
      <c r="F29" s="8" t="s">
        <v>1133</v>
      </c>
      <c r="G29" s="8" t="s">
        <v>985</v>
      </c>
      <c r="H29" s="8" t="s">
        <v>1006</v>
      </c>
      <c r="I29" s="8" t="s">
        <v>1176</v>
      </c>
      <c r="J29" s="7" t="s">
        <v>1165</v>
      </c>
      <c r="K29" s="8"/>
      <c r="L29" s="9" t="s">
        <v>1104</v>
      </c>
      <c r="M29" s="8"/>
      <c r="N29" s="7"/>
    </row>
    <row r="30" customFormat="false" ht="23.85" hidden="false" customHeight="false" outlineLevel="0" collapsed="false">
      <c r="A30" s="8" t="n">
        <v>29</v>
      </c>
      <c r="B30" s="8" t="n">
        <v>3</v>
      </c>
      <c r="C30" s="8" t="s">
        <v>1177</v>
      </c>
      <c r="D30" s="8" t="s">
        <v>1178</v>
      </c>
      <c r="E30" s="8" t="s">
        <v>1127</v>
      </c>
      <c r="F30" s="8" t="s">
        <v>1005</v>
      </c>
      <c r="G30" s="8" t="s">
        <v>985</v>
      </c>
      <c r="H30" s="8" t="s">
        <v>1006</v>
      </c>
      <c r="I30" s="8" t="s">
        <v>1179</v>
      </c>
      <c r="J30" s="7" t="s">
        <v>1165</v>
      </c>
      <c r="K30" s="8"/>
      <c r="L30" s="9" t="s">
        <v>1069</v>
      </c>
      <c r="M30" s="8"/>
      <c r="N30" s="7" t="s">
        <v>1180</v>
      </c>
    </row>
    <row r="31" customFormat="false" ht="23.85" hidden="false" customHeight="false" outlineLevel="0" collapsed="false">
      <c r="A31" s="8" t="n">
        <v>30</v>
      </c>
      <c r="B31" s="8" t="n">
        <v>3</v>
      </c>
      <c r="C31" s="8" t="s">
        <v>1181</v>
      </c>
      <c r="D31" s="8" t="s">
        <v>1182</v>
      </c>
      <c r="E31" s="8" t="s">
        <v>1150</v>
      </c>
      <c r="F31" s="8" t="s">
        <v>1141</v>
      </c>
      <c r="G31" s="8" t="s">
        <v>985</v>
      </c>
      <c r="H31" s="8" t="s">
        <v>1006</v>
      </c>
      <c r="I31" s="8" t="s">
        <v>1183</v>
      </c>
      <c r="J31" s="7" t="s">
        <v>1165</v>
      </c>
      <c r="K31" s="8" t="s">
        <v>1184</v>
      </c>
      <c r="L31" s="9" t="s">
        <v>1069</v>
      </c>
      <c r="M31" s="8"/>
      <c r="N31" s="7" t="s">
        <v>1185</v>
      </c>
    </row>
    <row r="32" customFormat="false" ht="23.85" hidden="false" customHeight="false" outlineLevel="0" collapsed="false">
      <c r="A32" s="8" t="n">
        <v>31</v>
      </c>
      <c r="B32" s="8" t="n">
        <v>3</v>
      </c>
      <c r="C32" s="8" t="s">
        <v>1181</v>
      </c>
      <c r="D32" s="8" t="s">
        <v>1182</v>
      </c>
      <c r="E32" s="8" t="s">
        <v>1150</v>
      </c>
      <c r="F32" s="8" t="s">
        <v>1010</v>
      </c>
      <c r="G32" s="8" t="s">
        <v>985</v>
      </c>
      <c r="H32" s="8" t="s">
        <v>1006</v>
      </c>
      <c r="I32" s="8" t="s">
        <v>1186</v>
      </c>
      <c r="J32" s="7" t="s">
        <v>1165</v>
      </c>
      <c r="K32" s="8" t="s">
        <v>1184</v>
      </c>
      <c r="L32" s="9" t="s">
        <v>1069</v>
      </c>
      <c r="M32" s="8"/>
      <c r="N32" s="7" t="s">
        <v>1185</v>
      </c>
    </row>
    <row r="33" customFormat="false" ht="23.85" hidden="false" customHeight="false" outlineLevel="0" collapsed="false">
      <c r="A33" s="8" t="n">
        <v>32</v>
      </c>
      <c r="B33" s="8" t="n">
        <v>3</v>
      </c>
      <c r="C33" s="8" t="s">
        <v>1181</v>
      </c>
      <c r="D33" s="8" t="s">
        <v>1182</v>
      </c>
      <c r="E33" s="8" t="s">
        <v>1150</v>
      </c>
      <c r="F33" s="8" t="s">
        <v>1146</v>
      </c>
      <c r="G33" s="8" t="s">
        <v>985</v>
      </c>
      <c r="H33" s="8" t="s">
        <v>1006</v>
      </c>
      <c r="I33" s="8" t="s">
        <v>1187</v>
      </c>
      <c r="J33" s="7" t="s">
        <v>1165</v>
      </c>
      <c r="K33" s="8" t="s">
        <v>1184</v>
      </c>
      <c r="L33" s="9" t="s">
        <v>1069</v>
      </c>
      <c r="M33" s="8"/>
      <c r="N33" s="7" t="s">
        <v>1185</v>
      </c>
    </row>
    <row r="34" customFormat="false" ht="23.85" hidden="false" customHeight="false" outlineLevel="0" collapsed="false">
      <c r="A34" s="8" t="n">
        <v>33</v>
      </c>
      <c r="B34" s="8" t="n">
        <v>3</v>
      </c>
      <c r="C34" s="8" t="s">
        <v>1181</v>
      </c>
      <c r="D34" s="8" t="s">
        <v>1182</v>
      </c>
      <c r="E34" s="8" t="s">
        <v>1150</v>
      </c>
      <c r="F34" s="8" t="s">
        <v>1152</v>
      </c>
      <c r="G34" s="8" t="s">
        <v>985</v>
      </c>
      <c r="H34" s="8" t="s">
        <v>1006</v>
      </c>
      <c r="I34" s="8" t="s">
        <v>1188</v>
      </c>
      <c r="J34" s="7" t="s">
        <v>1165</v>
      </c>
      <c r="K34" s="8" t="s">
        <v>1184</v>
      </c>
      <c r="L34" s="9" t="s">
        <v>1069</v>
      </c>
      <c r="M34" s="8"/>
      <c r="N34" s="7" t="s">
        <v>1185</v>
      </c>
    </row>
    <row r="35" customFormat="false" ht="23.85" hidden="false" customHeight="false" outlineLevel="0" collapsed="false">
      <c r="A35" s="8" t="n">
        <v>34</v>
      </c>
      <c r="B35" s="8" t="n">
        <v>3</v>
      </c>
      <c r="C35" s="8" t="s">
        <v>1181</v>
      </c>
      <c r="D35" s="8" t="s">
        <v>1182</v>
      </c>
      <c r="E35" s="8" t="s">
        <v>1150</v>
      </c>
      <c r="F35" s="8" t="s">
        <v>1156</v>
      </c>
      <c r="G35" s="8" t="s">
        <v>985</v>
      </c>
      <c r="H35" s="8" t="s">
        <v>1006</v>
      </c>
      <c r="I35" s="8" t="s">
        <v>1189</v>
      </c>
      <c r="J35" s="7" t="s">
        <v>1165</v>
      </c>
      <c r="K35" s="8" t="s">
        <v>1184</v>
      </c>
      <c r="L35" s="9" t="s">
        <v>1069</v>
      </c>
      <c r="M35" s="8"/>
      <c r="N35" s="7" t="s">
        <v>1185</v>
      </c>
    </row>
    <row r="36" customFormat="false" ht="23.85" hidden="false" customHeight="false" outlineLevel="0" collapsed="false">
      <c r="A36" s="8" t="n">
        <v>35</v>
      </c>
      <c r="B36" s="8" t="n">
        <v>3</v>
      </c>
      <c r="C36" s="8" t="s">
        <v>1181</v>
      </c>
      <c r="D36" s="8" t="s">
        <v>1182</v>
      </c>
      <c r="E36" s="8" t="s">
        <v>1150</v>
      </c>
      <c r="F36" s="8" t="s">
        <v>1158</v>
      </c>
      <c r="G36" s="8" t="s">
        <v>985</v>
      </c>
      <c r="H36" s="8" t="s">
        <v>1006</v>
      </c>
      <c r="I36" s="8" t="s">
        <v>1190</v>
      </c>
      <c r="J36" s="7" t="s">
        <v>1165</v>
      </c>
      <c r="K36" s="8" t="s">
        <v>1184</v>
      </c>
      <c r="L36" s="9" t="s">
        <v>1069</v>
      </c>
      <c r="M36" s="8"/>
      <c r="N36" s="7" t="s">
        <v>1185</v>
      </c>
    </row>
    <row r="37" customFormat="false" ht="23.85" hidden="false" customHeight="false" outlineLevel="0" collapsed="false">
      <c r="A37" s="8" t="n">
        <v>36</v>
      </c>
      <c r="B37" s="8" t="n">
        <v>3</v>
      </c>
      <c r="C37" s="8" t="s">
        <v>1099</v>
      </c>
      <c r="D37" s="8" t="s">
        <v>1191</v>
      </c>
      <c r="E37" s="8" t="s">
        <v>1192</v>
      </c>
      <c r="F37" s="8" t="s">
        <v>1161</v>
      </c>
      <c r="G37" s="8" t="s">
        <v>985</v>
      </c>
      <c r="H37" s="8" t="s">
        <v>1006</v>
      </c>
      <c r="I37" s="8" t="s">
        <v>1193</v>
      </c>
      <c r="J37" s="7" t="s">
        <v>1165</v>
      </c>
      <c r="K37" s="8"/>
      <c r="L37" s="9" t="s">
        <v>1069</v>
      </c>
      <c r="M37" s="8"/>
      <c r="N37" s="7"/>
    </row>
    <row r="38" customFormat="false" ht="23.85" hidden="false" customHeight="false" outlineLevel="0" collapsed="false">
      <c r="A38" s="8" t="n">
        <v>37</v>
      </c>
      <c r="B38" s="8" t="n">
        <v>3</v>
      </c>
      <c r="C38" s="8" t="s">
        <v>1194</v>
      </c>
      <c r="D38" s="8" t="s">
        <v>1195</v>
      </c>
      <c r="E38" s="8" t="s">
        <v>1127</v>
      </c>
      <c r="F38" s="8" t="s">
        <v>996</v>
      </c>
      <c r="G38" s="8" t="s">
        <v>985</v>
      </c>
      <c r="H38" s="8" t="s">
        <v>1006</v>
      </c>
      <c r="I38" s="8" t="s">
        <v>1196</v>
      </c>
      <c r="J38" s="7" t="s">
        <v>1165</v>
      </c>
      <c r="K38" s="8"/>
      <c r="L38" s="9" t="s">
        <v>1069</v>
      </c>
      <c r="M38" s="8"/>
      <c r="N38" s="7" t="s">
        <v>1197</v>
      </c>
    </row>
    <row r="39" customFormat="false" ht="23.85" hidden="false" customHeight="false" outlineLevel="0" collapsed="false">
      <c r="A39" s="8" t="n">
        <v>38</v>
      </c>
      <c r="B39" s="8" t="n">
        <v>4</v>
      </c>
      <c r="C39" s="8" t="s">
        <v>934</v>
      </c>
      <c r="D39" s="8" t="s">
        <v>1198</v>
      </c>
      <c r="E39" s="8" t="s">
        <v>1199</v>
      </c>
      <c r="F39" s="8" t="s">
        <v>1066</v>
      </c>
      <c r="G39" s="8" t="s">
        <v>985</v>
      </c>
      <c r="H39" s="8" t="s">
        <v>1025</v>
      </c>
      <c r="I39" s="8" t="s">
        <v>1200</v>
      </c>
      <c r="J39" s="7" t="s">
        <v>1201</v>
      </c>
      <c r="K39" s="8" t="s">
        <v>252</v>
      </c>
      <c r="L39" s="9" t="s">
        <v>1069</v>
      </c>
      <c r="M39" s="8"/>
      <c r="N39" s="7" t="s">
        <v>1202</v>
      </c>
    </row>
    <row r="40" customFormat="false" ht="23.85" hidden="false" customHeight="false" outlineLevel="0" collapsed="false">
      <c r="A40" s="8" t="n">
        <v>39</v>
      </c>
      <c r="B40" s="8" t="n">
        <v>4</v>
      </c>
      <c r="C40" s="8" t="s">
        <v>936</v>
      </c>
      <c r="D40" s="8" t="s">
        <v>1203</v>
      </c>
      <c r="E40" s="8" t="s">
        <v>1199</v>
      </c>
      <c r="F40" s="8" t="s">
        <v>1204</v>
      </c>
      <c r="G40" s="8" t="s">
        <v>985</v>
      </c>
      <c r="H40" s="8" t="s">
        <v>1025</v>
      </c>
      <c r="I40" s="8" t="s">
        <v>1205</v>
      </c>
      <c r="J40" s="7" t="s">
        <v>1201</v>
      </c>
      <c r="K40" s="8" t="s">
        <v>254</v>
      </c>
      <c r="L40" s="9" t="s">
        <v>1069</v>
      </c>
      <c r="M40" s="8"/>
      <c r="N40" s="7" t="s">
        <v>1206</v>
      </c>
    </row>
    <row r="41" customFormat="false" ht="23.85" hidden="false" customHeight="false" outlineLevel="0" collapsed="false">
      <c r="A41" s="8" t="n">
        <v>40</v>
      </c>
      <c r="B41" s="8" t="n">
        <v>4</v>
      </c>
      <c r="C41" s="8" t="s">
        <v>1207</v>
      </c>
      <c r="D41" s="8" t="s">
        <v>1208</v>
      </c>
      <c r="E41" s="8" t="s">
        <v>1199</v>
      </c>
      <c r="F41" s="8" t="s">
        <v>1073</v>
      </c>
      <c r="G41" s="8" t="s">
        <v>985</v>
      </c>
      <c r="H41" s="8" t="s">
        <v>1025</v>
      </c>
      <c r="I41" s="8" t="s">
        <v>1209</v>
      </c>
      <c r="J41" s="7" t="s">
        <v>1201</v>
      </c>
      <c r="K41" s="8" t="s">
        <v>256</v>
      </c>
      <c r="L41" s="9" t="s">
        <v>1069</v>
      </c>
      <c r="M41" s="8"/>
      <c r="N41" s="7" t="s">
        <v>1210</v>
      </c>
    </row>
    <row r="42" customFormat="false" ht="23.85" hidden="false" customHeight="false" outlineLevel="0" collapsed="false">
      <c r="A42" s="8" t="n">
        <v>41</v>
      </c>
      <c r="B42" s="8" t="n">
        <v>4</v>
      </c>
      <c r="C42" s="8" t="s">
        <v>942</v>
      </c>
      <c r="D42" s="8" t="s">
        <v>1211</v>
      </c>
      <c r="E42" s="8" t="s">
        <v>1199</v>
      </c>
      <c r="F42" s="8" t="s">
        <v>1212</v>
      </c>
      <c r="G42" s="8" t="s">
        <v>985</v>
      </c>
      <c r="H42" s="8" t="s">
        <v>1025</v>
      </c>
      <c r="I42" s="8" t="s">
        <v>968</v>
      </c>
      <c r="J42" s="7" t="s">
        <v>1201</v>
      </c>
      <c r="K42" s="8" t="s">
        <v>260</v>
      </c>
      <c r="L42" s="9" t="s">
        <v>1069</v>
      </c>
      <c r="M42" s="8"/>
      <c r="N42" s="7" t="s">
        <v>1213</v>
      </c>
    </row>
    <row r="43" customFormat="false" ht="23.85" hidden="false" customHeight="false" outlineLevel="0" collapsed="false">
      <c r="A43" s="8" t="n">
        <v>42</v>
      </c>
      <c r="B43" s="8" t="n">
        <v>4</v>
      </c>
      <c r="C43" s="8" t="s">
        <v>1214</v>
      </c>
      <c r="D43" s="8" t="s">
        <v>1215</v>
      </c>
      <c r="E43" s="8" t="s">
        <v>1199</v>
      </c>
      <c r="F43" s="8" t="s">
        <v>1078</v>
      </c>
      <c r="G43" s="8" t="s">
        <v>985</v>
      </c>
      <c r="H43" s="8" t="s">
        <v>1025</v>
      </c>
      <c r="I43" s="8" t="s">
        <v>1216</v>
      </c>
      <c r="J43" s="7" t="s">
        <v>1201</v>
      </c>
      <c r="K43" s="8" t="s">
        <v>262</v>
      </c>
      <c r="L43" s="9" t="s">
        <v>1069</v>
      </c>
      <c r="M43" s="8"/>
      <c r="N43" s="7" t="s">
        <v>1217</v>
      </c>
    </row>
    <row r="44" customFormat="false" ht="23.85" hidden="false" customHeight="false" outlineLevel="0" collapsed="false">
      <c r="A44" s="8" t="n">
        <v>43</v>
      </c>
      <c r="B44" s="8" t="n">
        <v>4</v>
      </c>
      <c r="C44" s="8" t="s">
        <v>1218</v>
      </c>
      <c r="D44" s="8" t="s">
        <v>1219</v>
      </c>
      <c r="E44" s="8" t="s">
        <v>1199</v>
      </c>
      <c r="F44" s="8" t="s">
        <v>1220</v>
      </c>
      <c r="G44" s="8" t="s">
        <v>985</v>
      </c>
      <c r="H44" s="8" t="s">
        <v>1025</v>
      </c>
      <c r="I44" s="8" t="s">
        <v>1221</v>
      </c>
      <c r="J44" s="7" t="s">
        <v>1201</v>
      </c>
      <c r="K44" s="8" t="s">
        <v>266</v>
      </c>
      <c r="L44" s="9" t="s">
        <v>1069</v>
      </c>
      <c r="M44" s="8"/>
      <c r="N44" s="7" t="s">
        <v>1222</v>
      </c>
    </row>
    <row r="45" customFormat="false" ht="23.85" hidden="false" customHeight="false" outlineLevel="0" collapsed="false">
      <c r="A45" s="8" t="n">
        <v>44</v>
      </c>
      <c r="B45" s="8" t="n">
        <v>4</v>
      </c>
      <c r="C45" s="8" t="s">
        <v>1223</v>
      </c>
      <c r="D45" s="8" t="s">
        <v>1224</v>
      </c>
      <c r="E45" s="8" t="s">
        <v>1199</v>
      </c>
      <c r="F45" s="8" t="s">
        <v>1083</v>
      </c>
      <c r="G45" s="8" t="s">
        <v>985</v>
      </c>
      <c r="H45" s="8" t="s">
        <v>1025</v>
      </c>
      <c r="I45" s="8" t="s">
        <v>973</v>
      </c>
      <c r="J45" s="7" t="s">
        <v>1201</v>
      </c>
      <c r="K45" s="8" t="s">
        <v>268</v>
      </c>
      <c r="L45" s="9" t="s">
        <v>1069</v>
      </c>
      <c r="M45" s="8"/>
      <c r="N45" s="7" t="s">
        <v>1225</v>
      </c>
    </row>
    <row r="46" customFormat="false" ht="23.85" hidden="false" customHeight="false" outlineLevel="0" collapsed="false">
      <c r="A46" s="8" t="n">
        <v>45</v>
      </c>
      <c r="B46" s="8" t="n">
        <v>4</v>
      </c>
      <c r="C46" s="8" t="s">
        <v>1125</v>
      </c>
      <c r="D46" s="8" t="s">
        <v>1023</v>
      </c>
      <c r="E46" s="8" t="s">
        <v>1127</v>
      </c>
      <c r="F46" s="8" t="s">
        <v>1024</v>
      </c>
      <c r="G46" s="8" t="s">
        <v>985</v>
      </c>
      <c r="H46" s="8" t="s">
        <v>1025</v>
      </c>
      <c r="I46" s="8" t="s">
        <v>1226</v>
      </c>
      <c r="J46" s="7" t="s">
        <v>1201</v>
      </c>
      <c r="K46" s="8"/>
      <c r="L46" s="9" t="s">
        <v>1069</v>
      </c>
      <c r="M46" s="8"/>
      <c r="N46" s="7" t="s">
        <v>1227</v>
      </c>
    </row>
    <row r="47" customFormat="false" ht="23.85" hidden="false" customHeight="false" outlineLevel="0" collapsed="false">
      <c r="A47" s="8" t="n">
        <v>46</v>
      </c>
      <c r="B47" s="8" t="n">
        <v>4</v>
      </c>
      <c r="C47" s="8" t="s">
        <v>1228</v>
      </c>
      <c r="D47" s="8" t="s">
        <v>1229</v>
      </c>
      <c r="E47" s="8" t="s">
        <v>1199</v>
      </c>
      <c r="F47" s="8" t="s">
        <v>1088</v>
      </c>
      <c r="G47" s="8" t="s">
        <v>985</v>
      </c>
      <c r="H47" s="8" t="s">
        <v>1025</v>
      </c>
      <c r="I47" s="8" t="s">
        <v>1230</v>
      </c>
      <c r="J47" s="7" t="s">
        <v>1201</v>
      </c>
      <c r="K47" s="8" t="s">
        <v>272</v>
      </c>
      <c r="L47" s="9" t="s">
        <v>1069</v>
      </c>
      <c r="M47" s="8"/>
      <c r="N47" s="7" t="s">
        <v>1231</v>
      </c>
    </row>
    <row r="48" customFormat="false" ht="23.85" hidden="false" customHeight="false" outlineLevel="0" collapsed="false">
      <c r="A48" s="8" t="n">
        <v>47</v>
      </c>
      <c r="B48" s="8" t="n">
        <v>4</v>
      </c>
      <c r="C48" s="8" t="s">
        <v>1232</v>
      </c>
      <c r="D48" s="8" t="s">
        <v>1233</v>
      </c>
      <c r="E48" s="8" t="s">
        <v>1199</v>
      </c>
      <c r="F48" s="8" t="s">
        <v>1234</v>
      </c>
      <c r="G48" s="8" t="s">
        <v>985</v>
      </c>
      <c r="H48" s="8" t="s">
        <v>1025</v>
      </c>
      <c r="I48" s="8" t="s">
        <v>1235</v>
      </c>
      <c r="J48" s="7" t="s">
        <v>1201</v>
      </c>
      <c r="K48" s="8" t="s">
        <v>274</v>
      </c>
      <c r="L48" s="9" t="s">
        <v>1069</v>
      </c>
      <c r="M48" s="8"/>
      <c r="N48" s="7" t="s">
        <v>1236</v>
      </c>
    </row>
    <row r="49" customFormat="false" ht="23.85" hidden="false" customHeight="false" outlineLevel="0" collapsed="false">
      <c r="A49" s="8" t="n">
        <v>48</v>
      </c>
      <c r="B49" s="8" t="n">
        <v>4</v>
      </c>
      <c r="C49" s="8" t="s">
        <v>1237</v>
      </c>
      <c r="D49" s="8" t="s">
        <v>1238</v>
      </c>
      <c r="E49" s="8" t="s">
        <v>1199</v>
      </c>
      <c r="F49" s="8" t="s">
        <v>1103</v>
      </c>
      <c r="G49" s="8" t="s">
        <v>985</v>
      </c>
      <c r="H49" s="8" t="s">
        <v>1025</v>
      </c>
      <c r="I49" s="8" t="s">
        <v>1239</v>
      </c>
      <c r="J49" s="7" t="s">
        <v>1201</v>
      </c>
      <c r="K49" s="8" t="s">
        <v>276</v>
      </c>
      <c r="L49" s="9" t="s">
        <v>1069</v>
      </c>
      <c r="M49" s="8"/>
      <c r="N49" s="7" t="s">
        <v>1240</v>
      </c>
    </row>
    <row r="50" customFormat="false" ht="23.85" hidden="false" customHeight="false" outlineLevel="0" collapsed="false">
      <c r="A50" s="8" t="n">
        <v>49</v>
      </c>
      <c r="B50" s="8" t="n">
        <v>4</v>
      </c>
      <c r="C50" s="8" t="s">
        <v>1241</v>
      </c>
      <c r="D50" s="8" t="s">
        <v>1242</v>
      </c>
      <c r="E50" s="8" t="s">
        <v>1199</v>
      </c>
      <c r="F50" s="8" t="s">
        <v>1243</v>
      </c>
      <c r="G50" s="8" t="s">
        <v>985</v>
      </c>
      <c r="H50" s="8" t="s">
        <v>1025</v>
      </c>
      <c r="I50" s="8" t="s">
        <v>1244</v>
      </c>
      <c r="J50" s="7" t="s">
        <v>1201</v>
      </c>
      <c r="K50" s="8" t="s">
        <v>280</v>
      </c>
      <c r="L50" s="9" t="s">
        <v>1069</v>
      </c>
      <c r="M50" s="8"/>
      <c r="N50" s="7" t="s">
        <v>1245</v>
      </c>
    </row>
    <row r="51" customFormat="false" ht="23.85" hidden="false" customHeight="false" outlineLevel="0" collapsed="false">
      <c r="A51" s="8" t="n">
        <v>50</v>
      </c>
      <c r="B51" s="8" t="n">
        <v>4</v>
      </c>
      <c r="C51" s="8" t="s">
        <v>1246</v>
      </c>
      <c r="D51" s="8" t="s">
        <v>1247</v>
      </c>
      <c r="E51" s="8" t="s">
        <v>1199</v>
      </c>
      <c r="F51" s="8" t="s">
        <v>1093</v>
      </c>
      <c r="G51" s="8" t="s">
        <v>985</v>
      </c>
      <c r="H51" s="8" t="s">
        <v>1025</v>
      </c>
      <c r="I51" s="8" t="s">
        <v>1248</v>
      </c>
      <c r="J51" s="7" t="s">
        <v>1201</v>
      </c>
      <c r="K51" s="8" t="s">
        <v>284</v>
      </c>
      <c r="L51" s="9" t="s">
        <v>1069</v>
      </c>
      <c r="M51" s="8"/>
      <c r="N51" s="7" t="s">
        <v>1249</v>
      </c>
    </row>
    <row r="52" customFormat="false" ht="23.85" hidden="false" customHeight="false" outlineLevel="0" collapsed="false">
      <c r="A52" s="8" t="n">
        <v>51</v>
      </c>
      <c r="B52" s="8" t="n">
        <v>4</v>
      </c>
      <c r="C52" s="8" t="s">
        <v>1142</v>
      </c>
      <c r="D52" s="8" t="s">
        <v>1037</v>
      </c>
      <c r="E52" s="8" t="s">
        <v>1127</v>
      </c>
      <c r="F52" s="8" t="s">
        <v>1038</v>
      </c>
      <c r="G52" s="8" t="s">
        <v>985</v>
      </c>
      <c r="H52" s="8" t="s">
        <v>1025</v>
      </c>
      <c r="I52" s="8" t="s">
        <v>1250</v>
      </c>
      <c r="J52" s="7" t="s">
        <v>1201</v>
      </c>
      <c r="K52" s="8"/>
      <c r="L52" s="9" t="s">
        <v>1069</v>
      </c>
      <c r="M52" s="8"/>
      <c r="N52" s="7" t="s">
        <v>1251</v>
      </c>
    </row>
    <row r="53" customFormat="false" ht="23.85" hidden="false" customHeight="false" outlineLevel="0" collapsed="false">
      <c r="A53" s="8" t="n">
        <v>52</v>
      </c>
      <c r="B53" s="8" t="n">
        <v>4</v>
      </c>
      <c r="C53" s="8" t="s">
        <v>1028</v>
      </c>
      <c r="D53" s="8" t="s">
        <v>1252</v>
      </c>
      <c r="E53" s="8" t="s">
        <v>1028</v>
      </c>
      <c r="F53" s="8" t="s">
        <v>1096</v>
      </c>
      <c r="G53" s="8" t="s">
        <v>985</v>
      </c>
      <c r="H53" s="8" t="s">
        <v>1025</v>
      </c>
      <c r="I53" s="8" t="s">
        <v>977</v>
      </c>
      <c r="J53" s="7" t="s">
        <v>1201</v>
      </c>
      <c r="K53" s="8" t="s">
        <v>270</v>
      </c>
      <c r="L53" s="9" t="s">
        <v>1069</v>
      </c>
      <c r="M53" s="8"/>
      <c r="N53" s="7" t="s">
        <v>1253</v>
      </c>
    </row>
    <row r="54" customFormat="false" ht="23.85" hidden="false" customHeight="false" outlineLevel="0" collapsed="false">
      <c r="A54" s="8" t="n">
        <v>53</v>
      </c>
      <c r="B54" s="8" t="n">
        <v>5</v>
      </c>
      <c r="C54" s="8" t="s">
        <v>934</v>
      </c>
      <c r="D54" s="8" t="s">
        <v>1254</v>
      </c>
      <c r="E54" s="8" t="s">
        <v>1199</v>
      </c>
      <c r="F54" s="8" t="s">
        <v>1200</v>
      </c>
      <c r="G54" s="8" t="s">
        <v>1255</v>
      </c>
      <c r="H54" s="8" t="s">
        <v>1256</v>
      </c>
      <c r="I54" s="8" t="s">
        <v>1107</v>
      </c>
      <c r="J54" s="7" t="s">
        <v>1257</v>
      </c>
      <c r="K54" s="8"/>
      <c r="L54" s="9" t="s">
        <v>1069</v>
      </c>
      <c r="M54" s="8"/>
      <c r="N54" s="7" t="s">
        <v>1258</v>
      </c>
    </row>
    <row r="55" customFormat="false" ht="23.85" hidden="false" customHeight="false" outlineLevel="0" collapsed="false">
      <c r="A55" s="8" t="n">
        <v>54</v>
      </c>
      <c r="B55" s="8" t="n">
        <v>5</v>
      </c>
      <c r="C55" s="8" t="s">
        <v>936</v>
      </c>
      <c r="D55" s="8" t="s">
        <v>1259</v>
      </c>
      <c r="E55" s="8" t="s">
        <v>1199</v>
      </c>
      <c r="F55" s="8" t="s">
        <v>1205</v>
      </c>
      <c r="G55" s="8" t="s">
        <v>1255</v>
      </c>
      <c r="H55" s="8" t="s">
        <v>1256</v>
      </c>
      <c r="I55" s="8" t="s">
        <v>1047</v>
      </c>
      <c r="J55" s="7" t="s">
        <v>1257</v>
      </c>
      <c r="K55" s="8"/>
      <c r="L55" s="9" t="s">
        <v>1069</v>
      </c>
      <c r="M55" s="8"/>
      <c r="N55" s="7" t="s">
        <v>1258</v>
      </c>
    </row>
    <row r="56" customFormat="false" ht="23.85" hidden="false" customHeight="false" outlineLevel="0" collapsed="false">
      <c r="A56" s="8" t="n">
        <v>55</v>
      </c>
      <c r="B56" s="8" t="n">
        <v>5</v>
      </c>
      <c r="C56" s="8" t="s">
        <v>938</v>
      </c>
      <c r="D56" s="8" t="s">
        <v>1260</v>
      </c>
      <c r="E56" s="8" t="s">
        <v>1199</v>
      </c>
      <c r="F56" s="8" t="s">
        <v>1209</v>
      </c>
      <c r="G56" s="8" t="s">
        <v>1255</v>
      </c>
      <c r="H56" s="8" t="s">
        <v>1256</v>
      </c>
      <c r="I56" s="8" t="s">
        <v>1117</v>
      </c>
      <c r="J56" s="7" t="s">
        <v>1257</v>
      </c>
      <c r="K56" s="8"/>
      <c r="L56" s="9" t="s">
        <v>1069</v>
      </c>
      <c r="M56" s="8"/>
      <c r="N56" s="7" t="s">
        <v>1258</v>
      </c>
    </row>
    <row r="57" customFormat="false" ht="23.85" hidden="false" customHeight="false" outlineLevel="0" collapsed="false">
      <c r="A57" s="8" t="n">
        <v>56</v>
      </c>
      <c r="B57" s="8" t="n">
        <v>5</v>
      </c>
      <c r="C57" s="8" t="s">
        <v>940</v>
      </c>
      <c r="D57" s="8" t="s">
        <v>1261</v>
      </c>
      <c r="E57" s="8" t="s">
        <v>1199</v>
      </c>
      <c r="F57" s="8" t="s">
        <v>968</v>
      </c>
      <c r="G57" s="8" t="s">
        <v>1255</v>
      </c>
      <c r="H57" s="8" t="s">
        <v>1256</v>
      </c>
      <c r="I57" s="8" t="s">
        <v>1121</v>
      </c>
      <c r="J57" s="7" t="s">
        <v>1257</v>
      </c>
      <c r="K57" s="8"/>
      <c r="L57" s="9" t="s">
        <v>1069</v>
      </c>
      <c r="M57" s="8"/>
      <c r="N57" s="7" t="s">
        <v>1258</v>
      </c>
    </row>
    <row r="58" customFormat="false" ht="23.85" hidden="false" customHeight="false" outlineLevel="0" collapsed="false">
      <c r="A58" s="8" t="n">
        <v>57</v>
      </c>
      <c r="B58" s="8" t="n">
        <v>5</v>
      </c>
      <c r="C58" s="8" t="s">
        <v>942</v>
      </c>
      <c r="D58" s="8" t="s">
        <v>1262</v>
      </c>
      <c r="E58" s="8" t="s">
        <v>1199</v>
      </c>
      <c r="F58" s="8" t="s">
        <v>1221</v>
      </c>
      <c r="G58" s="8" t="s">
        <v>1255</v>
      </c>
      <c r="H58" s="8" t="s">
        <v>1256</v>
      </c>
      <c r="I58" s="8" t="s">
        <v>981</v>
      </c>
      <c r="J58" s="7" t="s">
        <v>1257</v>
      </c>
      <c r="K58" s="8"/>
      <c r="L58" s="9" t="s">
        <v>1069</v>
      </c>
      <c r="M58" s="8"/>
      <c r="N58" s="7" t="s">
        <v>1258</v>
      </c>
    </row>
    <row r="59" customFormat="false" ht="23.85" hidden="false" customHeight="false" outlineLevel="0" collapsed="false">
      <c r="A59" s="8" t="n">
        <v>58</v>
      </c>
      <c r="B59" s="8" t="n">
        <v>5</v>
      </c>
      <c r="C59" s="8" t="s">
        <v>908</v>
      </c>
      <c r="D59" s="8" t="s">
        <v>1263</v>
      </c>
      <c r="E59" s="8" t="s">
        <v>1199</v>
      </c>
      <c r="F59" s="8" t="s">
        <v>973</v>
      </c>
      <c r="G59" s="8" t="s">
        <v>1255</v>
      </c>
      <c r="H59" s="8" t="s">
        <v>1256</v>
      </c>
      <c r="I59" s="8" t="s">
        <v>1132</v>
      </c>
      <c r="J59" s="7" t="s">
        <v>1257</v>
      </c>
      <c r="K59" s="8"/>
      <c r="L59" s="9" t="s">
        <v>1069</v>
      </c>
      <c r="M59" s="8"/>
      <c r="N59" s="7" t="s">
        <v>1258</v>
      </c>
    </row>
    <row r="60" customFormat="false" ht="23.85" hidden="false" customHeight="false" outlineLevel="0" collapsed="false">
      <c r="A60" s="8" t="n">
        <v>59</v>
      </c>
      <c r="B60" s="8" t="n">
        <v>5</v>
      </c>
      <c r="C60" s="8" t="s">
        <v>915</v>
      </c>
      <c r="D60" s="8" t="s">
        <v>1264</v>
      </c>
      <c r="E60" s="8" t="s">
        <v>1199</v>
      </c>
      <c r="F60" s="8" t="s">
        <v>1226</v>
      </c>
      <c r="G60" s="8" t="s">
        <v>1255</v>
      </c>
      <c r="H60" s="8" t="s">
        <v>1256</v>
      </c>
      <c r="I60" s="8" t="s">
        <v>1137</v>
      </c>
      <c r="J60" s="7" t="s">
        <v>1257</v>
      </c>
      <c r="K60" s="8"/>
      <c r="L60" s="9" t="s">
        <v>1069</v>
      </c>
      <c r="M60" s="8"/>
      <c r="N60" s="7" t="s">
        <v>1258</v>
      </c>
    </row>
    <row r="61" customFormat="false" ht="23.85" hidden="false" customHeight="false" outlineLevel="0" collapsed="false">
      <c r="A61" s="8" t="n">
        <v>60</v>
      </c>
      <c r="B61" s="8" t="n">
        <v>5</v>
      </c>
      <c r="C61" s="8" t="s">
        <v>1218</v>
      </c>
      <c r="D61" s="8" t="s">
        <v>1265</v>
      </c>
      <c r="E61" s="8" t="s">
        <v>1199</v>
      </c>
      <c r="F61" s="8" t="s">
        <v>1230</v>
      </c>
      <c r="G61" s="8" t="s">
        <v>1255</v>
      </c>
      <c r="H61" s="8" t="s">
        <v>1256</v>
      </c>
      <c r="I61" s="8" t="s">
        <v>989</v>
      </c>
      <c r="J61" s="7" t="s">
        <v>1257</v>
      </c>
      <c r="K61" s="8"/>
      <c r="L61" s="9" t="s">
        <v>1069</v>
      </c>
      <c r="M61" s="8"/>
      <c r="N61" s="7" t="s">
        <v>1258</v>
      </c>
    </row>
    <row r="62" customFormat="false" ht="23.85" hidden="false" customHeight="false" outlineLevel="0" collapsed="false">
      <c r="A62" s="8" t="n">
        <v>61</v>
      </c>
      <c r="B62" s="8" t="n">
        <v>5</v>
      </c>
      <c r="C62" s="8" t="s">
        <v>1266</v>
      </c>
      <c r="D62" s="8" t="s">
        <v>1267</v>
      </c>
      <c r="E62" s="8" t="s">
        <v>1199</v>
      </c>
      <c r="F62" s="8" t="s">
        <v>1235</v>
      </c>
      <c r="G62" s="8" t="s">
        <v>1255</v>
      </c>
      <c r="H62" s="8" t="s">
        <v>1256</v>
      </c>
      <c r="I62" s="8" t="s">
        <v>992</v>
      </c>
      <c r="J62" s="7" t="s">
        <v>1257</v>
      </c>
      <c r="K62" s="8"/>
      <c r="L62" s="9" t="s">
        <v>1069</v>
      </c>
      <c r="M62" s="8"/>
      <c r="N62" s="7" t="s">
        <v>1258</v>
      </c>
    </row>
    <row r="63" customFormat="false" ht="23.85" hidden="false" customHeight="false" outlineLevel="0" collapsed="false">
      <c r="A63" s="8" t="n">
        <v>62</v>
      </c>
      <c r="B63" s="8" t="n">
        <v>5</v>
      </c>
      <c r="C63" s="8" t="s">
        <v>1223</v>
      </c>
      <c r="D63" s="8" t="s">
        <v>1268</v>
      </c>
      <c r="E63" s="8" t="s">
        <v>1199</v>
      </c>
      <c r="F63" s="8" t="s">
        <v>1244</v>
      </c>
      <c r="G63" s="8" t="s">
        <v>1255</v>
      </c>
      <c r="H63" s="8" t="s">
        <v>1256</v>
      </c>
      <c r="I63" s="8" t="s">
        <v>1151</v>
      </c>
      <c r="J63" s="7" t="s">
        <v>1257</v>
      </c>
      <c r="K63" s="8"/>
      <c r="L63" s="9" t="s">
        <v>1069</v>
      </c>
      <c r="M63" s="8"/>
      <c r="N63" s="7" t="s">
        <v>1258</v>
      </c>
    </row>
    <row r="64" customFormat="false" ht="23.85" hidden="false" customHeight="false" outlineLevel="0" collapsed="false">
      <c r="A64" s="8" t="n">
        <v>63</v>
      </c>
      <c r="B64" s="8" t="n">
        <v>5</v>
      </c>
      <c r="C64" s="8" t="s">
        <v>1269</v>
      </c>
      <c r="D64" s="8" t="s">
        <v>1270</v>
      </c>
      <c r="E64" s="8" t="s">
        <v>1199</v>
      </c>
      <c r="F64" s="8" t="s">
        <v>1248</v>
      </c>
      <c r="G64" s="8" t="s">
        <v>1255</v>
      </c>
      <c r="H64" s="8" t="s">
        <v>1256</v>
      </c>
      <c r="I64" s="8" t="s">
        <v>1155</v>
      </c>
      <c r="J64" s="7" t="s">
        <v>1257</v>
      </c>
      <c r="K64" s="8"/>
      <c r="L64" s="9" t="s">
        <v>1069</v>
      </c>
      <c r="M64" s="8"/>
      <c r="N64" s="7" t="s">
        <v>1258</v>
      </c>
    </row>
    <row r="65" customFormat="false" ht="23.85" hidden="false" customHeight="false" outlineLevel="0" collapsed="false">
      <c r="A65" s="8" t="n">
        <v>64</v>
      </c>
      <c r="B65" s="8" t="n">
        <v>5</v>
      </c>
      <c r="C65" s="8" t="s">
        <v>1228</v>
      </c>
      <c r="D65" s="8" t="s">
        <v>1271</v>
      </c>
      <c r="E65" s="8" t="s">
        <v>1199</v>
      </c>
      <c r="F65" s="8" t="s">
        <v>1250</v>
      </c>
      <c r="G65" s="8" t="s">
        <v>1255</v>
      </c>
      <c r="H65" s="8" t="s">
        <v>1256</v>
      </c>
      <c r="I65" s="8" t="s">
        <v>1157</v>
      </c>
      <c r="J65" s="7" t="s">
        <v>1257</v>
      </c>
      <c r="K65" s="8"/>
      <c r="L65" s="9" t="s">
        <v>1069</v>
      </c>
      <c r="M65" s="8"/>
      <c r="N65" s="7" t="s">
        <v>1258</v>
      </c>
    </row>
    <row r="66" customFormat="false" ht="15" hidden="false" customHeight="false" outlineLevel="0" collapsed="false">
      <c r="A66" s="8" t="n">
        <v>65</v>
      </c>
      <c r="B66" s="8" t="n">
        <v>5</v>
      </c>
      <c r="C66" s="8" t="s">
        <v>1099</v>
      </c>
      <c r="D66" s="8" t="s">
        <v>1272</v>
      </c>
      <c r="E66" s="8" t="s">
        <v>1101</v>
      </c>
      <c r="F66" s="8" t="s">
        <v>1216</v>
      </c>
      <c r="G66" s="8" t="s">
        <v>1255</v>
      </c>
      <c r="H66" s="8" t="s">
        <v>1256</v>
      </c>
      <c r="I66" s="8" t="s">
        <v>1020</v>
      </c>
      <c r="J66" s="7" t="s">
        <v>1257</v>
      </c>
      <c r="K66" s="8"/>
      <c r="L66" s="9" t="s">
        <v>1104</v>
      </c>
      <c r="M66" s="8"/>
      <c r="N66" s="7"/>
    </row>
    <row r="67" customFormat="false" ht="15" hidden="false" customHeight="false" outlineLevel="0" collapsed="false">
      <c r="A67" s="8" t="n">
        <v>66</v>
      </c>
      <c r="B67" s="8" t="n">
        <v>5</v>
      </c>
      <c r="C67" s="8" t="s">
        <v>1099</v>
      </c>
      <c r="D67" s="8" t="s">
        <v>1273</v>
      </c>
      <c r="E67" s="8" t="s">
        <v>1101</v>
      </c>
      <c r="F67" s="8" t="s">
        <v>1239</v>
      </c>
      <c r="G67" s="8" t="s">
        <v>1255</v>
      </c>
      <c r="H67" s="8" t="s">
        <v>1256</v>
      </c>
      <c r="I67" s="8" t="s">
        <v>1034</v>
      </c>
      <c r="J67" s="7" t="s">
        <v>1257</v>
      </c>
      <c r="K67" s="8"/>
      <c r="L67" s="9" t="s">
        <v>1104</v>
      </c>
      <c r="M67" s="8"/>
      <c r="N67" s="7"/>
    </row>
    <row r="68" customFormat="false" ht="15" hidden="false" customHeight="false" outlineLevel="0" collapsed="false">
      <c r="A68" s="8" t="n">
        <v>67</v>
      </c>
      <c r="B68" s="8" t="n">
        <v>5</v>
      </c>
      <c r="C68" s="8" t="s">
        <v>1099</v>
      </c>
      <c r="D68" s="8" t="s">
        <v>1274</v>
      </c>
      <c r="E68" s="8" t="s">
        <v>1192</v>
      </c>
      <c r="F68" s="8" t="s">
        <v>977</v>
      </c>
      <c r="G68" s="8" t="s">
        <v>1255</v>
      </c>
      <c r="H68" s="8" t="s">
        <v>1256</v>
      </c>
      <c r="I68" s="8" t="s">
        <v>1042</v>
      </c>
      <c r="J68" s="7" t="s">
        <v>1257</v>
      </c>
      <c r="K68" s="8"/>
      <c r="L68" s="9" t="s">
        <v>1069</v>
      </c>
      <c r="M68" s="8"/>
      <c r="N68" s="7"/>
    </row>
    <row r="69" customFormat="false" ht="35.05" hidden="false" customHeight="false" outlineLevel="0" collapsed="false">
      <c r="A69" s="8" t="n">
        <v>68</v>
      </c>
      <c r="B69" s="8" t="n">
        <v>6</v>
      </c>
      <c r="C69" s="8" t="s">
        <v>1275</v>
      </c>
      <c r="D69" s="8" t="s">
        <v>1276</v>
      </c>
      <c r="E69" s="8" t="s">
        <v>1063</v>
      </c>
      <c r="F69" s="8" t="s">
        <v>1047</v>
      </c>
      <c r="G69" s="8" t="s">
        <v>1255</v>
      </c>
      <c r="H69" s="8" t="s">
        <v>1277</v>
      </c>
      <c r="I69" s="8" t="s">
        <v>1047</v>
      </c>
      <c r="J69" s="7" t="s">
        <v>1278</v>
      </c>
      <c r="K69" s="8" t="s">
        <v>321</v>
      </c>
      <c r="L69" s="9" t="s">
        <v>1069</v>
      </c>
      <c r="M69" s="8"/>
      <c r="N69" s="7" t="s">
        <v>1279</v>
      </c>
    </row>
    <row r="70" customFormat="false" ht="35.05" hidden="false" customHeight="false" outlineLevel="0" collapsed="false">
      <c r="A70" s="8" t="n">
        <v>69</v>
      </c>
      <c r="B70" s="8" t="n">
        <v>6</v>
      </c>
      <c r="C70" s="8" t="s">
        <v>1280</v>
      </c>
      <c r="D70" s="8" t="s">
        <v>1281</v>
      </c>
      <c r="E70" s="8" t="s">
        <v>1150</v>
      </c>
      <c r="F70" s="8" t="s">
        <v>1117</v>
      </c>
      <c r="G70" s="8" t="s">
        <v>1255</v>
      </c>
      <c r="H70" s="8" t="s">
        <v>1277</v>
      </c>
      <c r="I70" s="8" t="s">
        <v>1117</v>
      </c>
      <c r="J70" s="7" t="s">
        <v>1278</v>
      </c>
      <c r="K70" s="8" t="s">
        <v>1282</v>
      </c>
      <c r="L70" s="9" t="s">
        <v>1069</v>
      </c>
      <c r="M70" s="8"/>
      <c r="N70" s="7" t="s">
        <v>1283</v>
      </c>
    </row>
    <row r="71" customFormat="false" ht="35.05" hidden="false" customHeight="false" outlineLevel="0" collapsed="false">
      <c r="A71" s="8" t="n">
        <v>70</v>
      </c>
      <c r="B71" s="8" t="n">
        <v>6</v>
      </c>
      <c r="C71" s="8" t="s">
        <v>1280</v>
      </c>
      <c r="D71" s="8" t="s">
        <v>1281</v>
      </c>
      <c r="E71" s="8" t="s">
        <v>1150</v>
      </c>
      <c r="F71" s="8" t="s">
        <v>1121</v>
      </c>
      <c r="G71" s="8" t="s">
        <v>1255</v>
      </c>
      <c r="H71" s="8" t="s">
        <v>1277</v>
      </c>
      <c r="I71" s="8" t="s">
        <v>1121</v>
      </c>
      <c r="J71" s="7" t="s">
        <v>1278</v>
      </c>
      <c r="K71" s="8" t="s">
        <v>1282</v>
      </c>
      <c r="L71" s="9" t="s">
        <v>1069</v>
      </c>
      <c r="M71" s="8"/>
      <c r="N71" s="7" t="s">
        <v>1283</v>
      </c>
    </row>
    <row r="72" customFormat="false" ht="35.05" hidden="false" customHeight="false" outlineLevel="0" collapsed="false">
      <c r="A72" s="8" t="n">
        <v>71</v>
      </c>
      <c r="B72" s="8" t="n">
        <v>6</v>
      </c>
      <c r="C72" s="8" t="s">
        <v>1280</v>
      </c>
      <c r="D72" s="8" t="s">
        <v>1281</v>
      </c>
      <c r="E72" s="8" t="s">
        <v>1150</v>
      </c>
      <c r="F72" s="8" t="s">
        <v>1020</v>
      </c>
      <c r="G72" s="8" t="s">
        <v>1255</v>
      </c>
      <c r="H72" s="8" t="s">
        <v>1277</v>
      </c>
      <c r="I72" s="8" t="s">
        <v>1020</v>
      </c>
      <c r="J72" s="7" t="s">
        <v>1278</v>
      </c>
      <c r="K72" s="8" t="s">
        <v>1282</v>
      </c>
      <c r="L72" s="9" t="s">
        <v>1069</v>
      </c>
      <c r="M72" s="8"/>
      <c r="N72" s="7" t="s">
        <v>1283</v>
      </c>
    </row>
    <row r="73" customFormat="false" ht="35.05" hidden="false" customHeight="false" outlineLevel="0" collapsed="false">
      <c r="A73" s="8" t="n">
        <v>72</v>
      </c>
      <c r="B73" s="8" t="n">
        <v>6</v>
      </c>
      <c r="C73" s="8" t="s">
        <v>1280</v>
      </c>
      <c r="D73" s="8" t="s">
        <v>1281</v>
      </c>
      <c r="E73" s="8" t="s">
        <v>1150</v>
      </c>
      <c r="F73" s="8" t="s">
        <v>981</v>
      </c>
      <c r="G73" s="8" t="s">
        <v>1255</v>
      </c>
      <c r="H73" s="8" t="s">
        <v>1277</v>
      </c>
      <c r="I73" s="8" t="s">
        <v>981</v>
      </c>
      <c r="J73" s="7" t="s">
        <v>1278</v>
      </c>
      <c r="K73" s="8" t="s">
        <v>1282</v>
      </c>
      <c r="L73" s="9" t="s">
        <v>1069</v>
      </c>
      <c r="M73" s="8"/>
      <c r="N73" s="7" t="s">
        <v>1283</v>
      </c>
    </row>
    <row r="74" customFormat="false" ht="35.05" hidden="false" customHeight="false" outlineLevel="0" collapsed="false">
      <c r="A74" s="8" t="n">
        <v>73</v>
      </c>
      <c r="B74" s="8" t="n">
        <v>6</v>
      </c>
      <c r="C74" s="8" t="s">
        <v>1280</v>
      </c>
      <c r="D74" s="8" t="s">
        <v>1281</v>
      </c>
      <c r="E74" s="8" t="s">
        <v>1150</v>
      </c>
      <c r="F74" s="8" t="s">
        <v>1132</v>
      </c>
      <c r="G74" s="8" t="s">
        <v>1255</v>
      </c>
      <c r="H74" s="8" t="s">
        <v>1277</v>
      </c>
      <c r="I74" s="8" t="s">
        <v>1132</v>
      </c>
      <c r="J74" s="7" t="s">
        <v>1278</v>
      </c>
      <c r="K74" s="8" t="s">
        <v>1282</v>
      </c>
      <c r="L74" s="9" t="s">
        <v>1069</v>
      </c>
      <c r="M74" s="8"/>
      <c r="N74" s="7" t="s">
        <v>1283</v>
      </c>
    </row>
    <row r="75" customFormat="false" ht="35.05" hidden="false" customHeight="false" outlineLevel="0" collapsed="false">
      <c r="A75" s="8" t="n">
        <v>74</v>
      </c>
      <c r="B75" s="8" t="n">
        <v>6</v>
      </c>
      <c r="C75" s="8" t="s">
        <v>1280</v>
      </c>
      <c r="D75" s="8" t="s">
        <v>1281</v>
      </c>
      <c r="E75" s="8" t="s">
        <v>1150</v>
      </c>
      <c r="F75" s="8" t="s">
        <v>1137</v>
      </c>
      <c r="G75" s="8" t="s">
        <v>1255</v>
      </c>
      <c r="H75" s="8" t="s">
        <v>1277</v>
      </c>
      <c r="I75" s="8" t="s">
        <v>1137</v>
      </c>
      <c r="J75" s="7" t="s">
        <v>1278</v>
      </c>
      <c r="K75" s="8" t="s">
        <v>1282</v>
      </c>
      <c r="L75" s="9" t="s">
        <v>1069</v>
      </c>
      <c r="M75" s="8"/>
      <c r="N75" s="7" t="s">
        <v>1283</v>
      </c>
    </row>
    <row r="76" customFormat="false" ht="35.05" hidden="false" customHeight="false" outlineLevel="0" collapsed="false">
      <c r="A76" s="8" t="n">
        <v>75</v>
      </c>
      <c r="B76" s="8" t="n">
        <v>6</v>
      </c>
      <c r="C76" s="8" t="s">
        <v>1280</v>
      </c>
      <c r="D76" s="8" t="s">
        <v>1281</v>
      </c>
      <c r="E76" s="8" t="s">
        <v>1150</v>
      </c>
      <c r="F76" s="8" t="s">
        <v>989</v>
      </c>
      <c r="G76" s="8" t="s">
        <v>1255</v>
      </c>
      <c r="H76" s="8" t="s">
        <v>1277</v>
      </c>
      <c r="I76" s="8" t="s">
        <v>989</v>
      </c>
      <c r="J76" s="7" t="s">
        <v>1278</v>
      </c>
      <c r="K76" s="8" t="s">
        <v>1282</v>
      </c>
      <c r="L76" s="9" t="s">
        <v>1069</v>
      </c>
      <c r="M76" s="8"/>
      <c r="N76" s="7" t="s">
        <v>1283</v>
      </c>
    </row>
    <row r="77" customFormat="false" ht="35.05" hidden="false" customHeight="false" outlineLevel="0" collapsed="false">
      <c r="A77" s="8" t="n">
        <v>76</v>
      </c>
      <c r="B77" s="8" t="n">
        <v>6</v>
      </c>
      <c r="C77" s="8" t="s">
        <v>1280</v>
      </c>
      <c r="D77" s="8" t="s">
        <v>1281</v>
      </c>
      <c r="E77" s="8" t="s">
        <v>1150</v>
      </c>
      <c r="F77" s="8" t="s">
        <v>992</v>
      </c>
      <c r="G77" s="8" t="s">
        <v>1255</v>
      </c>
      <c r="H77" s="8" t="s">
        <v>1277</v>
      </c>
      <c r="I77" s="8" t="s">
        <v>992</v>
      </c>
      <c r="J77" s="7" t="s">
        <v>1278</v>
      </c>
      <c r="K77" s="8" t="s">
        <v>1282</v>
      </c>
      <c r="L77" s="9" t="s">
        <v>1069</v>
      </c>
      <c r="M77" s="8"/>
      <c r="N77" s="7" t="s">
        <v>1283</v>
      </c>
    </row>
    <row r="78" customFormat="false" ht="35.05" hidden="false" customHeight="false" outlineLevel="0" collapsed="false">
      <c r="A78" s="8" t="n">
        <v>77</v>
      </c>
      <c r="B78" s="8" t="n">
        <v>6</v>
      </c>
      <c r="C78" s="8" t="s">
        <v>1280</v>
      </c>
      <c r="D78" s="8" t="s">
        <v>1281</v>
      </c>
      <c r="E78" s="8" t="s">
        <v>1150</v>
      </c>
      <c r="F78" s="8" t="s">
        <v>1034</v>
      </c>
      <c r="G78" s="8" t="s">
        <v>1255</v>
      </c>
      <c r="H78" s="8" t="s">
        <v>1277</v>
      </c>
      <c r="I78" s="8" t="s">
        <v>1034</v>
      </c>
      <c r="J78" s="7" t="s">
        <v>1278</v>
      </c>
      <c r="K78" s="8" t="s">
        <v>1282</v>
      </c>
      <c r="L78" s="9" t="s">
        <v>1069</v>
      </c>
      <c r="M78" s="8"/>
      <c r="N78" s="7" t="s">
        <v>1283</v>
      </c>
    </row>
    <row r="79" customFormat="false" ht="35.05" hidden="false" customHeight="false" outlineLevel="0" collapsed="false">
      <c r="A79" s="8" t="n">
        <v>78</v>
      </c>
      <c r="B79" s="8" t="n">
        <v>6</v>
      </c>
      <c r="C79" s="8" t="s">
        <v>1280</v>
      </c>
      <c r="D79" s="8" t="s">
        <v>1281</v>
      </c>
      <c r="E79" s="8" t="s">
        <v>1150</v>
      </c>
      <c r="F79" s="8" t="s">
        <v>1151</v>
      </c>
      <c r="G79" s="8" t="s">
        <v>1255</v>
      </c>
      <c r="H79" s="8" t="s">
        <v>1277</v>
      </c>
      <c r="I79" s="8" t="s">
        <v>1151</v>
      </c>
      <c r="J79" s="7" t="s">
        <v>1278</v>
      </c>
      <c r="K79" s="8" t="s">
        <v>1282</v>
      </c>
      <c r="L79" s="9" t="s">
        <v>1069</v>
      </c>
      <c r="M79" s="8"/>
      <c r="N79" s="7" t="s">
        <v>1283</v>
      </c>
    </row>
    <row r="80" customFormat="false" ht="35.05" hidden="false" customHeight="false" outlineLevel="0" collapsed="false">
      <c r="A80" s="8" t="n">
        <v>79</v>
      </c>
      <c r="B80" s="8" t="n">
        <v>6</v>
      </c>
      <c r="C80" s="8" t="s">
        <v>1280</v>
      </c>
      <c r="D80" s="8" t="s">
        <v>1281</v>
      </c>
      <c r="E80" s="8" t="s">
        <v>1150</v>
      </c>
      <c r="F80" s="8" t="s">
        <v>1155</v>
      </c>
      <c r="G80" s="8" t="s">
        <v>1255</v>
      </c>
      <c r="H80" s="8" t="s">
        <v>1277</v>
      </c>
      <c r="I80" s="8" t="s">
        <v>1155</v>
      </c>
      <c r="J80" s="7" t="s">
        <v>1278</v>
      </c>
      <c r="K80" s="8" t="s">
        <v>1282</v>
      </c>
      <c r="L80" s="9" t="s">
        <v>1069</v>
      </c>
      <c r="M80" s="8"/>
      <c r="N80" s="7" t="s">
        <v>1283</v>
      </c>
    </row>
    <row r="81" customFormat="false" ht="35.05" hidden="false" customHeight="false" outlineLevel="0" collapsed="false">
      <c r="A81" s="8" t="n">
        <v>80</v>
      </c>
      <c r="B81" s="8" t="n">
        <v>6</v>
      </c>
      <c r="C81" s="8" t="s">
        <v>1280</v>
      </c>
      <c r="D81" s="8" t="s">
        <v>1281</v>
      </c>
      <c r="E81" s="8" t="s">
        <v>1150</v>
      </c>
      <c r="F81" s="8" t="s">
        <v>1157</v>
      </c>
      <c r="G81" s="8" t="s">
        <v>1255</v>
      </c>
      <c r="H81" s="8" t="s">
        <v>1277</v>
      </c>
      <c r="I81" s="8" t="s">
        <v>1157</v>
      </c>
      <c r="J81" s="7" t="s">
        <v>1278</v>
      </c>
      <c r="K81" s="8" t="s">
        <v>1282</v>
      </c>
      <c r="L81" s="9" t="s">
        <v>1069</v>
      </c>
      <c r="M81" s="8"/>
      <c r="N81" s="7" t="s">
        <v>1283</v>
      </c>
    </row>
    <row r="82" customFormat="false" ht="35.05" hidden="false" customHeight="false" outlineLevel="0" collapsed="false">
      <c r="A82" s="8" t="n">
        <v>81</v>
      </c>
      <c r="B82" s="8" t="n">
        <v>6</v>
      </c>
      <c r="C82" s="8" t="s">
        <v>1280</v>
      </c>
      <c r="D82" s="8" t="s">
        <v>1281</v>
      </c>
      <c r="E82" s="8" t="s">
        <v>1150</v>
      </c>
      <c r="F82" s="8" t="s">
        <v>1042</v>
      </c>
      <c r="G82" s="8" t="s">
        <v>1255</v>
      </c>
      <c r="H82" s="8" t="s">
        <v>1277</v>
      </c>
      <c r="I82" s="8" t="s">
        <v>1042</v>
      </c>
      <c r="J82" s="7" t="s">
        <v>1278</v>
      </c>
      <c r="K82" s="8" t="s">
        <v>1282</v>
      </c>
      <c r="L82" s="9" t="s">
        <v>1069</v>
      </c>
      <c r="M82" s="8"/>
      <c r="N82" s="7" t="s">
        <v>1283</v>
      </c>
    </row>
  </sheetData>
  <autoFilter ref="A1:N82"/>
  <dataValidations count="2">
    <dataValidation allowBlank="true" error="Pick a value from the list" errorStyle="stop" errorTitle="Invalid value" operator="between" showDropDown="false" showErrorMessage="false" showInputMessage="false" sqref="L2:L1082" type="list">
      <formula1>"TRUE,FALSE"</formula1>
      <formula2>0</formula2>
    </dataValidation>
    <dataValidation allowBlank="true" error="Pick a value from the list" errorStyle="stop" errorTitle="Invalid value" operator="between" showDropDown="false" showErrorMessage="false" showInputMessage="false" sqref="E2:E1082" type="list">
      <formula1>"Common,Rotational,Weekly,Assessment,Practice,Project,None"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95"/>
  </cols>
  <sheetData>
    <row r="1" customFormat="false" ht="15" hidden="false" customHeight="false" outlineLevel="0" collapsed="false">
      <c r="A1" s="3" t="s">
        <v>1284</v>
      </c>
      <c r="B1" s="3" t="s">
        <v>2</v>
      </c>
      <c r="C1" s="3" t="s">
        <v>104</v>
      </c>
      <c r="D1" s="3" t="s">
        <v>395</v>
      </c>
      <c r="E1" s="3" t="s">
        <v>1285</v>
      </c>
      <c r="F1" s="3" t="s">
        <v>1286</v>
      </c>
      <c r="G1" s="3" t="s">
        <v>1287</v>
      </c>
      <c r="H1" s="3" t="s">
        <v>1057</v>
      </c>
      <c r="I1" s="3" t="s">
        <v>1288</v>
      </c>
    </row>
    <row r="2" customFormat="false" ht="15" hidden="false" customHeight="false" outlineLevel="0" collapsed="false">
      <c r="A2" s="8" t="n">
        <v>1</v>
      </c>
      <c r="B2" s="8" t="n">
        <v>1</v>
      </c>
      <c r="C2" s="8" t="s">
        <v>1289</v>
      </c>
      <c r="D2" s="8" t="s">
        <v>66</v>
      </c>
      <c r="E2" s="8" t="s">
        <v>1290</v>
      </c>
      <c r="F2" s="8" t="s">
        <v>1291</v>
      </c>
      <c r="G2" s="8" t="s">
        <v>1292</v>
      </c>
      <c r="H2" s="8" t="s">
        <v>1293</v>
      </c>
      <c r="I2" s="8"/>
    </row>
    <row r="3" customFormat="false" ht="15" hidden="false" customHeight="false" outlineLevel="0" collapsed="false">
      <c r="A3" s="8" t="n">
        <v>2</v>
      </c>
      <c r="B3" s="8" t="n">
        <v>1</v>
      </c>
      <c r="C3" s="8" t="s">
        <v>1289</v>
      </c>
      <c r="D3" s="8" t="s">
        <v>66</v>
      </c>
      <c r="E3" s="8" t="s">
        <v>1294</v>
      </c>
      <c r="F3" s="8" t="s">
        <v>1255</v>
      </c>
      <c r="G3" s="8" t="s">
        <v>1295</v>
      </c>
      <c r="H3" s="8" t="s">
        <v>1296</v>
      </c>
      <c r="I3" s="8"/>
    </row>
    <row r="4" customFormat="false" ht="15" hidden="false" customHeight="false" outlineLevel="0" collapsed="false">
      <c r="A4" s="8" t="n">
        <v>3</v>
      </c>
      <c r="B4" s="8" t="n">
        <v>1</v>
      </c>
      <c r="C4" s="8" t="s">
        <v>1289</v>
      </c>
      <c r="D4" s="8" t="s">
        <v>66</v>
      </c>
      <c r="E4" s="8" t="s">
        <v>1297</v>
      </c>
      <c r="F4" s="8" t="s">
        <v>1298</v>
      </c>
      <c r="G4" s="8" t="s">
        <v>1299</v>
      </c>
      <c r="H4" s="8" t="s">
        <v>1300</v>
      </c>
      <c r="I4" s="8"/>
    </row>
    <row r="5" customFormat="false" ht="15" hidden="false" customHeight="false" outlineLevel="0" collapsed="false">
      <c r="A5" s="8" t="n">
        <v>4</v>
      </c>
      <c r="B5" s="8" t="n">
        <v>1</v>
      </c>
      <c r="C5" s="8" t="s">
        <v>343</v>
      </c>
      <c r="D5" s="8" t="s">
        <v>67</v>
      </c>
      <c r="E5" s="8" t="s">
        <v>1297</v>
      </c>
      <c r="F5" s="8" t="s">
        <v>985</v>
      </c>
      <c r="G5" s="8" t="s">
        <v>1301</v>
      </c>
      <c r="H5" s="8" t="s">
        <v>1065</v>
      </c>
      <c r="I5" s="8" t="s">
        <v>1302</v>
      </c>
    </row>
    <row r="6" customFormat="false" ht="15" hidden="false" customHeight="false" outlineLevel="0" collapsed="false">
      <c r="A6" s="8" t="n">
        <v>5</v>
      </c>
      <c r="B6" s="8" t="n">
        <v>2</v>
      </c>
      <c r="C6" s="8" t="s">
        <v>1289</v>
      </c>
      <c r="D6" s="8" t="s">
        <v>66</v>
      </c>
      <c r="E6" s="8" t="s">
        <v>1303</v>
      </c>
      <c r="F6" s="8" t="s">
        <v>1298</v>
      </c>
      <c r="G6" s="8" t="s">
        <v>1299</v>
      </c>
      <c r="H6" s="8" t="s">
        <v>1300</v>
      </c>
      <c r="I6" s="8"/>
    </row>
    <row r="7" customFormat="false" ht="15" hidden="false" customHeight="false" outlineLevel="0" collapsed="false">
      <c r="A7" s="8" t="n">
        <v>6</v>
      </c>
      <c r="B7" s="8" t="n">
        <v>2</v>
      </c>
      <c r="C7" s="8" t="s">
        <v>1289</v>
      </c>
      <c r="D7" s="8" t="s">
        <v>66</v>
      </c>
      <c r="E7" s="8" t="s">
        <v>1304</v>
      </c>
      <c r="F7" s="8" t="s">
        <v>1291</v>
      </c>
      <c r="G7" s="8" t="s">
        <v>1292</v>
      </c>
      <c r="H7" s="8" t="s">
        <v>1296</v>
      </c>
      <c r="I7" s="8"/>
    </row>
    <row r="8" customFormat="false" ht="15" hidden="false" customHeight="false" outlineLevel="0" collapsed="false">
      <c r="A8" s="8" t="n">
        <v>7</v>
      </c>
      <c r="B8" s="8" t="n">
        <v>2</v>
      </c>
      <c r="C8" s="8" t="s">
        <v>1289</v>
      </c>
      <c r="D8" s="8" t="s">
        <v>66</v>
      </c>
      <c r="E8" s="8" t="s">
        <v>1294</v>
      </c>
      <c r="F8" s="8" t="s">
        <v>1298</v>
      </c>
      <c r="G8" s="8" t="s">
        <v>1299</v>
      </c>
      <c r="H8" s="8" t="s">
        <v>1300</v>
      </c>
      <c r="I8" s="8"/>
    </row>
    <row r="9" customFormat="false" ht="15" hidden="false" customHeight="false" outlineLevel="0" collapsed="false">
      <c r="A9" s="8" t="n">
        <v>8</v>
      </c>
      <c r="B9" s="8" t="n">
        <v>2</v>
      </c>
      <c r="C9" s="8" t="s">
        <v>343</v>
      </c>
      <c r="D9" s="8" t="s">
        <v>67</v>
      </c>
      <c r="E9" s="8" t="s">
        <v>1303</v>
      </c>
      <c r="F9" s="8" t="s">
        <v>985</v>
      </c>
      <c r="G9" s="8" t="s">
        <v>1301</v>
      </c>
      <c r="H9" s="8" t="s">
        <v>986</v>
      </c>
      <c r="I9" s="8"/>
    </row>
    <row r="10" customFormat="false" ht="15" hidden="false" customHeight="false" outlineLevel="0" collapsed="false">
      <c r="A10" s="8" t="n">
        <v>9</v>
      </c>
      <c r="B10" s="8" t="n">
        <v>3</v>
      </c>
      <c r="C10" s="8" t="s">
        <v>1289</v>
      </c>
      <c r="D10" s="8" t="s">
        <v>66</v>
      </c>
      <c r="E10" s="8" t="s">
        <v>1290</v>
      </c>
      <c r="F10" s="8" t="s">
        <v>1305</v>
      </c>
      <c r="G10" s="8" t="s">
        <v>1306</v>
      </c>
      <c r="H10" s="8" t="s">
        <v>1300</v>
      </c>
      <c r="I10" s="8"/>
    </row>
    <row r="11" customFormat="false" ht="15" hidden="false" customHeight="false" outlineLevel="0" collapsed="false">
      <c r="A11" s="8" t="n">
        <v>10</v>
      </c>
      <c r="B11" s="8" t="n">
        <v>3</v>
      </c>
      <c r="C11" s="8" t="s">
        <v>1289</v>
      </c>
      <c r="D11" s="8" t="s">
        <v>66</v>
      </c>
      <c r="E11" s="8" t="s">
        <v>1304</v>
      </c>
      <c r="F11" s="8" t="s">
        <v>1298</v>
      </c>
      <c r="G11" s="8" t="s">
        <v>1299</v>
      </c>
      <c r="H11" s="8" t="s">
        <v>1296</v>
      </c>
      <c r="I11" s="8"/>
    </row>
    <row r="12" customFormat="false" ht="15" hidden="false" customHeight="false" outlineLevel="0" collapsed="false">
      <c r="A12" s="8" t="n">
        <v>11</v>
      </c>
      <c r="B12" s="8" t="n">
        <v>3</v>
      </c>
      <c r="C12" s="8" t="s">
        <v>1289</v>
      </c>
      <c r="D12" s="8" t="s">
        <v>66</v>
      </c>
      <c r="E12" s="8" t="s">
        <v>1294</v>
      </c>
      <c r="F12" s="8" t="s">
        <v>1307</v>
      </c>
      <c r="G12" s="8" t="s">
        <v>1308</v>
      </c>
      <c r="H12" s="8" t="s">
        <v>1296</v>
      </c>
      <c r="I12" s="8"/>
    </row>
    <row r="13" customFormat="false" ht="15" hidden="false" customHeight="false" outlineLevel="0" collapsed="false">
      <c r="A13" s="8" t="n">
        <v>12</v>
      </c>
      <c r="B13" s="8" t="n">
        <v>3</v>
      </c>
      <c r="C13" s="8" t="s">
        <v>343</v>
      </c>
      <c r="D13" s="8" t="s">
        <v>67</v>
      </c>
      <c r="E13" s="8" t="s">
        <v>1290</v>
      </c>
      <c r="F13" s="8" t="s">
        <v>985</v>
      </c>
      <c r="G13" s="8" t="s">
        <v>1301</v>
      </c>
      <c r="H13" s="8" t="s">
        <v>1006</v>
      </c>
      <c r="I13" s="8"/>
    </row>
    <row r="14" customFormat="false" ht="15" hidden="false" customHeight="false" outlineLevel="0" collapsed="false">
      <c r="A14" s="8" t="n">
        <v>13</v>
      </c>
      <c r="B14" s="8" t="n">
        <v>4</v>
      </c>
      <c r="C14" s="8" t="s">
        <v>1289</v>
      </c>
      <c r="D14" s="8" t="s">
        <v>66</v>
      </c>
      <c r="E14" s="8" t="s">
        <v>1303</v>
      </c>
      <c r="F14" s="8" t="s">
        <v>1307</v>
      </c>
      <c r="G14" s="8" t="s">
        <v>1308</v>
      </c>
      <c r="H14" s="8" t="s">
        <v>1309</v>
      </c>
      <c r="I14" s="8"/>
    </row>
    <row r="15" customFormat="false" ht="15" hidden="false" customHeight="false" outlineLevel="0" collapsed="false">
      <c r="A15" s="8" t="n">
        <v>14</v>
      </c>
      <c r="B15" s="8" t="n">
        <v>4</v>
      </c>
      <c r="C15" s="8" t="s">
        <v>1289</v>
      </c>
      <c r="D15" s="8" t="s">
        <v>66</v>
      </c>
      <c r="E15" s="8" t="s">
        <v>1304</v>
      </c>
      <c r="F15" s="8" t="s">
        <v>1307</v>
      </c>
      <c r="G15" s="8" t="s">
        <v>1308</v>
      </c>
      <c r="H15" s="8" t="s">
        <v>1296</v>
      </c>
      <c r="I15" s="8"/>
    </row>
    <row r="16" customFormat="false" ht="15" hidden="false" customHeight="false" outlineLevel="0" collapsed="false">
      <c r="A16" s="8" t="n">
        <v>15</v>
      </c>
      <c r="B16" s="8" t="n">
        <v>4</v>
      </c>
      <c r="C16" s="8" t="s">
        <v>1289</v>
      </c>
      <c r="D16" s="8" t="s">
        <v>66</v>
      </c>
      <c r="E16" s="8" t="s">
        <v>1294</v>
      </c>
      <c r="F16" s="8" t="s">
        <v>1310</v>
      </c>
      <c r="G16" s="8" t="s">
        <v>1311</v>
      </c>
      <c r="H16" s="8" t="s">
        <v>1296</v>
      </c>
      <c r="I16" s="8"/>
    </row>
    <row r="17" customFormat="false" ht="15" hidden="false" customHeight="false" outlineLevel="0" collapsed="false">
      <c r="A17" s="8" t="n">
        <v>16</v>
      </c>
      <c r="B17" s="8" t="n">
        <v>4</v>
      </c>
      <c r="C17" s="8" t="s">
        <v>343</v>
      </c>
      <c r="D17" s="8" t="s">
        <v>67</v>
      </c>
      <c r="E17" s="8" t="s">
        <v>1294</v>
      </c>
      <c r="F17" s="8" t="s">
        <v>985</v>
      </c>
      <c r="G17" s="8" t="s">
        <v>1301</v>
      </c>
      <c r="H17" s="8" t="s">
        <v>1025</v>
      </c>
      <c r="I17" s="8"/>
    </row>
    <row r="18" customFormat="false" ht="15" hidden="false" customHeight="false" outlineLevel="0" collapsed="false">
      <c r="A18" s="8" t="n">
        <v>17</v>
      </c>
      <c r="B18" s="8" t="n">
        <v>4</v>
      </c>
      <c r="C18" s="8" t="s">
        <v>343</v>
      </c>
      <c r="D18" s="8" t="s">
        <v>67</v>
      </c>
      <c r="E18" s="8" t="s">
        <v>1297</v>
      </c>
      <c r="F18" s="8" t="s">
        <v>985</v>
      </c>
      <c r="G18" s="8" t="s">
        <v>1301</v>
      </c>
      <c r="H18" s="8" t="s">
        <v>1025</v>
      </c>
      <c r="I18" s="8" t="s">
        <v>1312</v>
      </c>
    </row>
    <row r="19" customFormat="false" ht="15" hidden="false" customHeight="false" outlineLevel="0" collapsed="false">
      <c r="A19" s="8" t="n">
        <v>18</v>
      </c>
      <c r="B19" s="8" t="n">
        <v>5</v>
      </c>
      <c r="C19" s="8" t="s">
        <v>1289</v>
      </c>
      <c r="D19" s="8" t="s">
        <v>66</v>
      </c>
      <c r="E19" s="8" t="s">
        <v>1290</v>
      </c>
      <c r="F19" s="8" t="s">
        <v>1307</v>
      </c>
      <c r="G19" s="8" t="s">
        <v>1308</v>
      </c>
      <c r="H19" s="8" t="s">
        <v>1300</v>
      </c>
      <c r="I19" s="8"/>
    </row>
    <row r="20" customFormat="false" ht="15" hidden="false" customHeight="false" outlineLevel="0" collapsed="false">
      <c r="A20" s="8" t="n">
        <v>19</v>
      </c>
      <c r="B20" s="8" t="n">
        <v>5</v>
      </c>
      <c r="C20" s="8" t="s">
        <v>1289</v>
      </c>
      <c r="D20" s="8" t="s">
        <v>66</v>
      </c>
      <c r="E20" s="8" t="s">
        <v>1294</v>
      </c>
      <c r="F20" s="8" t="s">
        <v>1291</v>
      </c>
      <c r="G20" s="8" t="s">
        <v>1292</v>
      </c>
      <c r="H20" s="8" t="s">
        <v>1300</v>
      </c>
      <c r="I20" s="8"/>
    </row>
    <row r="21" customFormat="false" ht="15" hidden="false" customHeight="false" outlineLevel="0" collapsed="false">
      <c r="A21" s="8" t="n">
        <v>20</v>
      </c>
      <c r="B21" s="8" t="n">
        <v>5</v>
      </c>
      <c r="C21" s="8" t="s">
        <v>1289</v>
      </c>
      <c r="D21" s="8" t="s">
        <v>66</v>
      </c>
      <c r="E21" s="8" t="s">
        <v>1297</v>
      </c>
      <c r="F21" s="8" t="s">
        <v>1307</v>
      </c>
      <c r="G21" s="8" t="s">
        <v>1308</v>
      </c>
      <c r="H21" s="8" t="s">
        <v>1313</v>
      </c>
      <c r="I21" s="8"/>
    </row>
    <row r="22" customFormat="false" ht="15" hidden="false" customHeight="false" outlineLevel="0" collapsed="false">
      <c r="A22" s="8" t="n">
        <v>21</v>
      </c>
      <c r="B22" s="8" t="n">
        <v>5</v>
      </c>
      <c r="C22" s="8" t="s">
        <v>343</v>
      </c>
      <c r="D22" s="8" t="s">
        <v>67</v>
      </c>
      <c r="E22" s="8" t="s">
        <v>1304</v>
      </c>
      <c r="F22" s="8" t="s">
        <v>1255</v>
      </c>
      <c r="G22" s="8" t="s">
        <v>1311</v>
      </c>
      <c r="H22" s="8" t="s">
        <v>1256</v>
      </c>
      <c r="I22" s="8"/>
    </row>
    <row r="23" customFormat="false" ht="15" hidden="false" customHeight="false" outlineLevel="0" collapsed="false">
      <c r="A23" s="8" t="n">
        <v>22</v>
      </c>
      <c r="B23" s="8" t="n">
        <v>6</v>
      </c>
      <c r="C23" s="8" t="s">
        <v>1289</v>
      </c>
      <c r="D23" s="8" t="s">
        <v>66</v>
      </c>
      <c r="E23" s="8" t="s">
        <v>1303</v>
      </c>
      <c r="F23" s="8" t="s">
        <v>1291</v>
      </c>
      <c r="G23" s="8" t="s">
        <v>1292</v>
      </c>
      <c r="H23" s="8" t="s">
        <v>1293</v>
      </c>
      <c r="I23" s="8"/>
    </row>
    <row r="24" customFormat="false" ht="15" hidden="false" customHeight="false" outlineLevel="0" collapsed="false">
      <c r="A24" s="8" t="n">
        <v>23</v>
      </c>
      <c r="B24" s="8" t="n">
        <v>6</v>
      </c>
      <c r="C24" s="8" t="s">
        <v>1289</v>
      </c>
      <c r="D24" s="8" t="s">
        <v>66</v>
      </c>
      <c r="E24" s="8" t="s">
        <v>1294</v>
      </c>
      <c r="F24" s="8" t="s">
        <v>1314</v>
      </c>
      <c r="G24" s="8" t="s">
        <v>1315</v>
      </c>
      <c r="H24" s="8" t="s">
        <v>1296</v>
      </c>
      <c r="I24" s="8"/>
    </row>
    <row r="25" customFormat="false" ht="15" hidden="false" customHeight="false" outlineLevel="0" collapsed="false">
      <c r="A25" s="8" t="n">
        <v>24</v>
      </c>
      <c r="B25" s="8" t="n">
        <v>6</v>
      </c>
      <c r="C25" s="8" t="s">
        <v>1289</v>
      </c>
      <c r="D25" s="8" t="s">
        <v>66</v>
      </c>
      <c r="E25" s="8" t="s">
        <v>1297</v>
      </c>
      <c r="F25" s="8" t="s">
        <v>1291</v>
      </c>
      <c r="G25" s="8" t="s">
        <v>1292</v>
      </c>
      <c r="H25" s="8" t="s">
        <v>1313</v>
      </c>
      <c r="I25" s="8"/>
    </row>
    <row r="26" customFormat="false" ht="15" hidden="false" customHeight="false" outlineLevel="0" collapsed="false">
      <c r="A26" s="8" t="n">
        <v>25</v>
      </c>
      <c r="B26" s="8" t="n">
        <v>6</v>
      </c>
      <c r="C26" s="8" t="s">
        <v>343</v>
      </c>
      <c r="D26" s="8" t="s">
        <v>67</v>
      </c>
      <c r="E26" s="8" t="s">
        <v>1303</v>
      </c>
      <c r="F26" s="8" t="s">
        <v>1255</v>
      </c>
      <c r="G26" s="8" t="s">
        <v>1295</v>
      </c>
      <c r="H26" s="8" t="s">
        <v>1277</v>
      </c>
      <c r="I26" s="8"/>
    </row>
  </sheetData>
  <autoFilter ref="A1:I26"/>
  <dataValidations count="2">
    <dataValidation allowBlank="true" error="Pick a value from the list" errorStyle="stop" errorTitle="Invalid value" operator="between" showDropDown="false" showErrorMessage="false" showInputMessage="false" sqref="C2:C1026" type="list">
      <formula1>"Lecture,Lab,Tutorial,Seminar,Study Block"</formula1>
      <formula2>0</formula2>
    </dataValidation>
    <dataValidation allowBlank="true" error="Pick a value from the list" errorStyle="stop" errorTitle="Invalid value" operator="between" showDropDown="false" showErrorMessage="false" showInputMessage="false" sqref="E2:E1026" type="list">
      <formula1>"Monday,Tuesday,Wednesday,Thursday,Friday,Saturday,Sunday"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21"/>
  </cols>
  <sheetData>
    <row r="1" customFormat="false" ht="15" hidden="false" customHeight="false" outlineLevel="0" collapsed="false">
      <c r="A1" s="3" t="s">
        <v>1316</v>
      </c>
      <c r="B1" s="3" t="s">
        <v>4</v>
      </c>
      <c r="C1" s="3" t="s">
        <v>1317</v>
      </c>
    </row>
    <row r="2" customFormat="false" ht="15" hidden="false" customHeight="false" outlineLevel="0" collapsed="false">
      <c r="A2" s="8" t="s">
        <v>1113</v>
      </c>
      <c r="B2" s="8" t="s">
        <v>1318</v>
      </c>
      <c r="C2" s="8" t="s">
        <v>1104</v>
      </c>
    </row>
    <row r="3" customFormat="false" ht="15" hidden="false" customHeight="false" outlineLevel="0" collapsed="false">
      <c r="A3" s="8" t="s">
        <v>1216</v>
      </c>
      <c r="B3" s="8" t="s">
        <v>1319</v>
      </c>
      <c r="C3" s="8" t="s">
        <v>1104</v>
      </c>
    </row>
    <row r="4" customFormat="false" ht="15" hidden="false" customHeight="false" outlineLevel="0" collapsed="false">
      <c r="A4" s="8" t="s">
        <v>1133</v>
      </c>
      <c r="B4" s="8" t="s">
        <v>1320</v>
      </c>
      <c r="C4" s="8" t="s">
        <v>1104</v>
      </c>
    </row>
    <row r="5" customFormat="false" ht="15" hidden="false" customHeight="false" outlineLevel="0" collapsed="false">
      <c r="A5" s="8" t="s">
        <v>1239</v>
      </c>
      <c r="B5" s="8" t="s">
        <v>1321</v>
      </c>
      <c r="C5" s="8" t="s">
        <v>1104</v>
      </c>
    </row>
    <row r="6" customFormat="false" ht="15" hidden="false" customHeight="false" outlineLevel="0" collapsed="false">
      <c r="A6" s="8" t="s">
        <v>1103</v>
      </c>
      <c r="B6" s="8" t="s">
        <v>1322</v>
      </c>
      <c r="C6" s="8" t="s">
        <v>1104</v>
      </c>
    </row>
    <row r="7" customFormat="false" ht="15" hidden="false" customHeight="false" outlineLevel="0" collapsed="false">
      <c r="A7" s="8" t="s">
        <v>1102</v>
      </c>
      <c r="B7" s="8" t="s">
        <v>1322</v>
      </c>
      <c r="C7" s="8" t="s">
        <v>1104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5"/>
    <col collapsed="false" customWidth="true" hidden="false" outlineLevel="0" max="4" min="4" style="0" width="110"/>
    <col collapsed="false" customWidth="true" hidden="false" outlineLevel="0" max="5" min="5" style="0" width="4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1323</v>
      </c>
      <c r="B1" s="3" t="s">
        <v>2</v>
      </c>
      <c r="C1" s="3" t="s">
        <v>1324</v>
      </c>
      <c r="D1" s="3" t="s">
        <v>1325</v>
      </c>
      <c r="E1" s="3" t="s">
        <v>1326</v>
      </c>
      <c r="F1" s="3" t="s">
        <v>1327</v>
      </c>
    </row>
    <row r="2" customFormat="false" ht="15" hidden="false" customHeight="false" outlineLevel="0" collapsed="false">
      <c r="A2" s="8" t="n">
        <v>1</v>
      </c>
      <c r="B2" s="8" t="n">
        <v>1</v>
      </c>
      <c r="C2" s="8" t="s">
        <v>1328</v>
      </c>
      <c r="D2" s="7" t="s">
        <v>1329</v>
      </c>
      <c r="E2" s="8" t="s">
        <v>1330</v>
      </c>
      <c r="F2" s="9" t="s">
        <v>1069</v>
      </c>
    </row>
    <row r="3" customFormat="false" ht="15" hidden="false" customHeight="false" outlineLevel="0" collapsed="false">
      <c r="A3" s="8" t="n">
        <v>2</v>
      </c>
      <c r="B3" s="8" t="n">
        <v>1</v>
      </c>
      <c r="C3" s="8" t="s">
        <v>1331</v>
      </c>
      <c r="D3" s="7" t="s">
        <v>1332</v>
      </c>
      <c r="E3" s="8" t="s">
        <v>1333</v>
      </c>
      <c r="F3" s="9" t="s">
        <v>1069</v>
      </c>
    </row>
    <row r="4" customFormat="false" ht="23.85" hidden="false" customHeight="false" outlineLevel="0" collapsed="false">
      <c r="A4" s="8" t="n">
        <v>3</v>
      </c>
      <c r="B4" s="8" t="n">
        <v>1</v>
      </c>
      <c r="C4" s="8" t="s">
        <v>1334</v>
      </c>
      <c r="D4" s="7" t="s">
        <v>1335</v>
      </c>
      <c r="E4" s="8" t="s">
        <v>1336</v>
      </c>
      <c r="F4" s="9" t="s">
        <v>1069</v>
      </c>
    </row>
    <row r="5" customFormat="false" ht="15" hidden="false" customHeight="false" outlineLevel="0" collapsed="false">
      <c r="A5" s="8" t="n">
        <v>4</v>
      </c>
      <c r="B5" s="8" t="n">
        <v>1</v>
      </c>
      <c r="C5" s="8" t="s">
        <v>1337</v>
      </c>
      <c r="D5" s="7" t="s">
        <v>1338</v>
      </c>
      <c r="E5" s="8" t="s">
        <v>1339</v>
      </c>
      <c r="F5" s="9" t="s">
        <v>1069</v>
      </c>
    </row>
    <row r="6" customFormat="false" ht="15" hidden="false" customHeight="false" outlineLevel="0" collapsed="false">
      <c r="A6" s="8" t="n">
        <v>5</v>
      </c>
      <c r="B6" s="8" t="n">
        <v>2</v>
      </c>
      <c r="C6" s="8" t="s">
        <v>1340</v>
      </c>
      <c r="D6" s="7" t="s">
        <v>1341</v>
      </c>
      <c r="E6" s="8" t="s">
        <v>1342</v>
      </c>
      <c r="F6" s="9" t="s">
        <v>1069</v>
      </c>
    </row>
    <row r="7" customFormat="false" ht="15" hidden="false" customHeight="false" outlineLevel="0" collapsed="false">
      <c r="A7" s="8" t="n">
        <v>6</v>
      </c>
      <c r="B7" s="8" t="n">
        <v>2</v>
      </c>
      <c r="C7" s="8" t="s">
        <v>1343</v>
      </c>
      <c r="D7" s="7" t="s">
        <v>1344</v>
      </c>
      <c r="E7" s="8" t="s">
        <v>1333</v>
      </c>
      <c r="F7" s="9" t="s">
        <v>1069</v>
      </c>
    </row>
    <row r="8" customFormat="false" ht="15" hidden="false" customHeight="false" outlineLevel="0" collapsed="false">
      <c r="A8" s="8" t="n">
        <v>7</v>
      </c>
      <c r="B8" s="8" t="n">
        <v>2</v>
      </c>
      <c r="C8" s="8" t="s">
        <v>1345</v>
      </c>
      <c r="D8" s="7" t="s">
        <v>1346</v>
      </c>
      <c r="E8" s="8" t="s">
        <v>1347</v>
      </c>
      <c r="F8" s="9" t="s">
        <v>1069</v>
      </c>
    </row>
    <row r="9" customFormat="false" ht="15" hidden="false" customHeight="false" outlineLevel="0" collapsed="false">
      <c r="A9" s="8" t="n">
        <v>8</v>
      </c>
      <c r="B9" s="8" t="n">
        <v>2</v>
      </c>
      <c r="C9" s="8" t="s">
        <v>1348</v>
      </c>
      <c r="D9" s="7" t="s">
        <v>1349</v>
      </c>
      <c r="E9" s="8" t="s">
        <v>1350</v>
      </c>
      <c r="F9" s="9" t="s">
        <v>1069</v>
      </c>
    </row>
    <row r="10" customFormat="false" ht="23.85" hidden="false" customHeight="false" outlineLevel="0" collapsed="false">
      <c r="A10" s="8" t="n">
        <v>9</v>
      </c>
      <c r="B10" s="8" t="n">
        <v>3</v>
      </c>
      <c r="C10" s="8" t="s">
        <v>1351</v>
      </c>
      <c r="D10" s="7" t="s">
        <v>1352</v>
      </c>
      <c r="E10" s="8" t="s">
        <v>1353</v>
      </c>
      <c r="F10" s="9" t="s">
        <v>1069</v>
      </c>
    </row>
    <row r="11" customFormat="false" ht="15" hidden="false" customHeight="false" outlineLevel="0" collapsed="false">
      <c r="A11" s="8" t="n">
        <v>10</v>
      </c>
      <c r="B11" s="8" t="n">
        <v>3</v>
      </c>
      <c r="C11" s="8" t="s">
        <v>1354</v>
      </c>
      <c r="D11" s="7" t="s">
        <v>1355</v>
      </c>
      <c r="E11" s="8" t="s">
        <v>1356</v>
      </c>
      <c r="F11" s="9" t="s">
        <v>1069</v>
      </c>
    </row>
    <row r="12" customFormat="false" ht="15" hidden="false" customHeight="false" outlineLevel="0" collapsed="false">
      <c r="A12" s="8" t="n">
        <v>11</v>
      </c>
      <c r="B12" s="8" t="n">
        <v>3</v>
      </c>
      <c r="C12" s="8" t="s">
        <v>1357</v>
      </c>
      <c r="D12" s="7" t="s">
        <v>1358</v>
      </c>
      <c r="E12" s="8" t="s">
        <v>1356</v>
      </c>
      <c r="F12" s="9" t="s">
        <v>1069</v>
      </c>
    </row>
    <row r="13" customFormat="false" ht="15" hidden="false" customHeight="false" outlineLevel="0" collapsed="false">
      <c r="A13" s="8" t="n">
        <v>12</v>
      </c>
      <c r="B13" s="8" t="n">
        <v>4</v>
      </c>
      <c r="C13" s="8" t="s">
        <v>1359</v>
      </c>
      <c r="D13" s="7" t="s">
        <v>1360</v>
      </c>
      <c r="E13" s="8" t="s">
        <v>1361</v>
      </c>
      <c r="F13" s="9" t="s">
        <v>1069</v>
      </c>
    </row>
    <row r="14" customFormat="false" ht="15" hidden="false" customHeight="false" outlineLevel="0" collapsed="false">
      <c r="A14" s="8" t="n">
        <v>13</v>
      </c>
      <c r="B14" s="8" t="n">
        <v>4</v>
      </c>
      <c r="C14" s="8" t="s">
        <v>1362</v>
      </c>
      <c r="D14" s="7" t="s">
        <v>1363</v>
      </c>
      <c r="E14" s="8" t="s">
        <v>1364</v>
      </c>
      <c r="F14" s="9" t="s">
        <v>1069</v>
      </c>
    </row>
    <row r="15" customFormat="false" ht="15" hidden="false" customHeight="false" outlineLevel="0" collapsed="false">
      <c r="A15" s="8" t="n">
        <v>14</v>
      </c>
      <c r="B15" s="8" t="n">
        <v>4</v>
      </c>
      <c r="C15" s="8" t="s">
        <v>1365</v>
      </c>
      <c r="D15" s="7" t="s">
        <v>1366</v>
      </c>
      <c r="E15" s="8" t="s">
        <v>1361</v>
      </c>
      <c r="F15" s="9" t="s">
        <v>1069</v>
      </c>
    </row>
    <row r="16" customFormat="false" ht="23.85" hidden="false" customHeight="false" outlineLevel="0" collapsed="false">
      <c r="A16" s="8" t="n">
        <v>15</v>
      </c>
      <c r="B16" s="8" t="n">
        <v>4</v>
      </c>
      <c r="C16" s="8" t="s">
        <v>1367</v>
      </c>
      <c r="D16" s="7" t="s">
        <v>1368</v>
      </c>
      <c r="E16" s="8" t="s">
        <v>1369</v>
      </c>
      <c r="F16" s="9" t="s">
        <v>1069</v>
      </c>
    </row>
    <row r="17" customFormat="false" ht="15" hidden="false" customHeight="false" outlineLevel="0" collapsed="false">
      <c r="A17" s="8" t="n">
        <v>16</v>
      </c>
      <c r="B17" s="8" t="n">
        <v>5</v>
      </c>
      <c r="C17" s="8" t="s">
        <v>1370</v>
      </c>
      <c r="D17" s="7" t="s">
        <v>1371</v>
      </c>
      <c r="E17" s="8" t="s">
        <v>1372</v>
      </c>
      <c r="F17" s="9" t="s">
        <v>1069</v>
      </c>
    </row>
    <row r="18" customFormat="false" ht="15" hidden="false" customHeight="false" outlineLevel="0" collapsed="false">
      <c r="A18" s="8" t="n">
        <v>17</v>
      </c>
      <c r="B18" s="8" t="n">
        <v>5</v>
      </c>
      <c r="C18" s="8" t="s">
        <v>1373</v>
      </c>
      <c r="D18" s="7" t="s">
        <v>1374</v>
      </c>
      <c r="E18" s="8" t="s">
        <v>1375</v>
      </c>
      <c r="F18" s="9" t="s">
        <v>1069</v>
      </c>
    </row>
    <row r="19" customFormat="false" ht="15" hidden="false" customHeight="false" outlineLevel="0" collapsed="false">
      <c r="A19" s="8" t="n">
        <v>18</v>
      </c>
      <c r="B19" s="8" t="n">
        <v>5</v>
      </c>
      <c r="C19" s="8" t="s">
        <v>1376</v>
      </c>
      <c r="D19" s="7" t="s">
        <v>1377</v>
      </c>
      <c r="E19" s="8" t="s">
        <v>116</v>
      </c>
      <c r="F19" s="9" t="s">
        <v>1069</v>
      </c>
    </row>
    <row r="20" customFormat="false" ht="15" hidden="false" customHeight="false" outlineLevel="0" collapsed="false">
      <c r="A20" s="8" t="n">
        <v>19</v>
      </c>
      <c r="B20" s="8" t="n">
        <v>6</v>
      </c>
      <c r="C20" s="8" t="s">
        <v>1378</v>
      </c>
      <c r="D20" s="7" t="s">
        <v>1379</v>
      </c>
      <c r="E20" s="8" t="s">
        <v>1380</v>
      </c>
      <c r="F20" s="9" t="s">
        <v>1069</v>
      </c>
    </row>
    <row r="21" customFormat="false" ht="15" hidden="false" customHeight="false" outlineLevel="0" collapsed="false">
      <c r="A21" s="8" t="n">
        <v>20</v>
      </c>
      <c r="B21" s="8" t="n">
        <v>6</v>
      </c>
      <c r="C21" s="8" t="s">
        <v>1381</v>
      </c>
      <c r="D21" s="7" t="s">
        <v>1382</v>
      </c>
      <c r="E21" s="8" t="s">
        <v>1372</v>
      </c>
      <c r="F21" s="9" t="s">
        <v>1069</v>
      </c>
    </row>
    <row r="22" customFormat="false" ht="15" hidden="false" customHeight="false" outlineLevel="0" collapsed="false">
      <c r="A22" s="8" t="n">
        <v>21</v>
      </c>
      <c r="B22" s="8" t="n">
        <v>6</v>
      </c>
      <c r="C22" s="8" t="s">
        <v>1383</v>
      </c>
      <c r="D22" s="7" t="s">
        <v>1384</v>
      </c>
      <c r="E22" s="8" t="s">
        <v>1385</v>
      </c>
      <c r="F22" s="9" t="s">
        <v>1069</v>
      </c>
    </row>
    <row r="23" customFormat="false" ht="15" hidden="false" customHeight="false" outlineLevel="0" collapsed="false">
      <c r="A23" s="8" t="n">
        <v>22</v>
      </c>
      <c r="B23" s="8" t="n">
        <v>6</v>
      </c>
      <c r="C23" s="8" t="s">
        <v>1386</v>
      </c>
      <c r="D23" s="7" t="s">
        <v>1387</v>
      </c>
      <c r="E23" s="8" t="s">
        <v>1388</v>
      </c>
      <c r="F23" s="9" t="s">
        <v>1069</v>
      </c>
    </row>
  </sheetData>
  <autoFilter ref="A1:F23"/>
  <dataValidations count="1">
    <dataValidation allowBlank="true" error="Pick a value from the list" errorStyle="stop" errorTitle="Invalid value" operator="between" showDropDown="false" showErrorMessage="false" showInputMessage="false" sqref="F2:F1023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15" hidden="false" customHeight="false" outlineLevel="0" collapsed="false">
      <c r="A1" s="3" t="s">
        <v>1389</v>
      </c>
      <c r="B1" s="3" t="s">
        <v>1390</v>
      </c>
      <c r="C1" s="3" t="s">
        <v>2</v>
      </c>
      <c r="D1" s="3" t="s">
        <v>1391</v>
      </c>
      <c r="E1" s="3" t="s">
        <v>1392</v>
      </c>
      <c r="F1" s="3" t="s">
        <v>1393</v>
      </c>
      <c r="G1" s="3" t="s">
        <v>1394</v>
      </c>
      <c r="H1" s="3" t="s">
        <v>1395</v>
      </c>
      <c r="I1" s="3" t="s">
        <v>1396</v>
      </c>
      <c r="J1" s="3" t="s">
        <v>397</v>
      </c>
    </row>
    <row r="2" customFormat="false" ht="15" hidden="false" customHeight="false" outlineLevel="0" collapsed="false">
      <c r="A2" s="8" t="n">
        <v>1</v>
      </c>
      <c r="B2" s="8" t="s">
        <v>1199</v>
      </c>
      <c r="C2" s="8"/>
      <c r="D2" s="8" t="s">
        <v>1397</v>
      </c>
      <c r="E2" s="8" t="s">
        <v>1398</v>
      </c>
      <c r="F2" s="8" t="n">
        <v>20</v>
      </c>
      <c r="G2" s="8"/>
      <c r="H2" s="8" t="s">
        <v>1107</v>
      </c>
      <c r="I2" s="8" t="s">
        <v>1399</v>
      </c>
      <c r="J2" s="8" t="s">
        <v>1400</v>
      </c>
    </row>
    <row r="3" customFormat="false" ht="15" hidden="false" customHeight="false" outlineLevel="0" collapsed="false">
      <c r="A3" s="8" t="n">
        <v>2</v>
      </c>
      <c r="B3" s="8" t="s">
        <v>1401</v>
      </c>
      <c r="C3" s="8"/>
      <c r="D3" s="8" t="s">
        <v>1402</v>
      </c>
      <c r="E3" s="8" t="s">
        <v>1403</v>
      </c>
      <c r="F3" s="8" t="n">
        <v>100</v>
      </c>
      <c r="G3" s="8"/>
      <c r="H3" s="8" t="s">
        <v>1107</v>
      </c>
      <c r="I3" s="8" t="s">
        <v>1399</v>
      </c>
      <c r="J3" s="8" t="s">
        <v>1400</v>
      </c>
    </row>
    <row r="4" customFormat="false" ht="15" hidden="false" customHeight="false" outlineLevel="0" collapsed="false">
      <c r="A4" s="8" t="n">
        <v>3</v>
      </c>
      <c r="B4" s="8" t="s">
        <v>1401</v>
      </c>
      <c r="C4" s="8"/>
      <c r="D4" s="8" t="s">
        <v>1404</v>
      </c>
      <c r="E4" s="8" t="s">
        <v>1405</v>
      </c>
      <c r="F4" s="8" t="n">
        <v>30</v>
      </c>
      <c r="G4" s="8"/>
      <c r="H4" s="8" t="s">
        <v>1107</v>
      </c>
      <c r="I4" s="8" t="s">
        <v>1399</v>
      </c>
      <c r="J4" s="8" t="s">
        <v>1400</v>
      </c>
    </row>
    <row r="5" customFormat="false" ht="15" hidden="false" customHeight="false" outlineLevel="0" collapsed="false">
      <c r="A5" s="8" t="n">
        <v>4</v>
      </c>
      <c r="B5" s="8" t="s">
        <v>1406</v>
      </c>
      <c r="C5" s="8" t="n">
        <v>2</v>
      </c>
      <c r="D5" s="8" t="s">
        <v>1407</v>
      </c>
      <c r="E5" s="8" t="s">
        <v>1408</v>
      </c>
      <c r="F5" s="8" t="n">
        <v>80</v>
      </c>
      <c r="G5" s="8"/>
      <c r="H5" s="8" t="s">
        <v>1107</v>
      </c>
      <c r="I5" s="8" t="s">
        <v>1399</v>
      </c>
      <c r="J5" s="8" t="s">
        <v>1400</v>
      </c>
    </row>
    <row r="6" customFormat="false" ht="15" hidden="false" customHeight="false" outlineLevel="0" collapsed="false">
      <c r="A6" s="8" t="n">
        <v>5</v>
      </c>
      <c r="B6" s="8" t="s">
        <v>1406</v>
      </c>
      <c r="C6" s="8" t="n">
        <v>4</v>
      </c>
      <c r="D6" s="8" t="s">
        <v>1409</v>
      </c>
      <c r="E6" s="8" t="s">
        <v>1408</v>
      </c>
      <c r="F6" s="8" t="n">
        <v>80</v>
      </c>
      <c r="G6" s="8"/>
      <c r="H6" s="8" t="s">
        <v>1107</v>
      </c>
      <c r="I6" s="8" t="s">
        <v>1399</v>
      </c>
      <c r="J6" s="8" t="s">
        <v>1400</v>
      </c>
    </row>
  </sheetData>
  <autoFilter ref="A1:J6"/>
  <dataValidations count="3">
    <dataValidation allowBlank="true" error="Pick a value from the list" errorStyle="stop" errorTitle="Invalid value" operator="between" showDropDown="false" showErrorMessage="false" showInputMessage="false" sqref="B2:B1006" type="list">
      <formula1>"Semester,Weekly,Course"</formula1>
      <formula2>0</formula2>
    </dataValidation>
    <dataValidation allowBlank="true" error="Pick a value from the list" errorStyle="stop" errorTitle="Invalid value" operator="between" showDropDown="false" showErrorMessage="false" showInputMessage="false" sqref="J2:J1006" type="list">
      <formula1>"Active,Achieved,Missed"</formula1>
      <formula2>0</formula2>
    </dataValidation>
    <dataValidation allowBlank="true" error="Pick a value from the list" errorStyle="stop" errorTitle="Invalid value" operator="between" showDropDown="false" showErrorMessage="false" showInputMessage="false" sqref="E2:E1006" type="list">
      <formula1>"study_hours_per_week,grade_at_least,topics_mastered,questions_per_week,streak_days,prelabs_on_time_pct"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70"/>
    <col collapsed="false" customWidth="true" hidden="false" outlineLevel="0" max="6" min="6" style="0" width="40"/>
    <col collapsed="false" customWidth="true" hidden="false" outlineLevel="0" max="7" min="7" style="0" width="70"/>
    <col collapsed="false" customWidth="true" hidden="false" outlineLevel="0" max="8" min="8" style="0" width="50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9"/>
    <col collapsed="false" customWidth="true" hidden="false" outlineLevel="0" max="13" min="13" style="0" width="17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3" t="s">
        <v>1410</v>
      </c>
      <c r="B1" s="3" t="s">
        <v>2</v>
      </c>
      <c r="C1" s="3" t="s">
        <v>393</v>
      </c>
      <c r="D1" s="3" t="s">
        <v>1411</v>
      </c>
      <c r="E1" s="3" t="s">
        <v>1412</v>
      </c>
      <c r="F1" s="3" t="s">
        <v>1413</v>
      </c>
      <c r="G1" s="3" t="s">
        <v>1414</v>
      </c>
      <c r="H1" s="3" t="s">
        <v>1415</v>
      </c>
      <c r="I1" s="3" t="s">
        <v>1416</v>
      </c>
      <c r="J1" s="3" t="s">
        <v>1417</v>
      </c>
      <c r="K1" s="3" t="s">
        <v>1418</v>
      </c>
      <c r="L1" s="3" t="s">
        <v>1419</v>
      </c>
      <c r="M1" s="3" t="s">
        <v>1420</v>
      </c>
      <c r="N1" s="3" t="s">
        <v>1421</v>
      </c>
      <c r="O1" s="3" t="s">
        <v>1422</v>
      </c>
      <c r="P1" s="3" t="s">
        <v>1423</v>
      </c>
    </row>
    <row r="2" customFormat="false" ht="35.05" hidden="false" customHeight="false" outlineLevel="0" collapsed="false">
      <c r="A2" s="8" t="n">
        <v>1</v>
      </c>
      <c r="B2" s="8" t="n">
        <v>1</v>
      </c>
      <c r="C2" s="8" t="s">
        <v>936</v>
      </c>
      <c r="D2" s="8" t="s">
        <v>1424</v>
      </c>
      <c r="E2" s="7" t="s">
        <v>1425</v>
      </c>
      <c r="F2" s="8"/>
      <c r="G2" s="7" t="s">
        <v>1426</v>
      </c>
      <c r="H2" s="7" t="s">
        <v>1427</v>
      </c>
      <c r="I2" s="8" t="n">
        <v>1</v>
      </c>
      <c r="J2" s="8" t="s">
        <v>1428</v>
      </c>
      <c r="K2" s="8" t="n">
        <v>1</v>
      </c>
      <c r="L2" s="8" t="n">
        <v>0</v>
      </c>
      <c r="M2" s="8" t="n">
        <v>0</v>
      </c>
      <c r="N2" s="8"/>
      <c r="O2" s="8"/>
      <c r="P2" s="8"/>
    </row>
    <row r="3" customFormat="false" ht="23.85" hidden="false" customHeight="false" outlineLevel="0" collapsed="false">
      <c r="A3" s="8" t="n">
        <v>2</v>
      </c>
      <c r="B3" s="8" t="n">
        <v>1</v>
      </c>
      <c r="C3" s="8" t="s">
        <v>940</v>
      </c>
      <c r="D3" s="8" t="s">
        <v>1429</v>
      </c>
      <c r="E3" s="7" t="s">
        <v>1430</v>
      </c>
      <c r="F3" s="8" t="s">
        <v>1431</v>
      </c>
      <c r="G3" s="7" t="s">
        <v>1432</v>
      </c>
      <c r="H3" s="7" t="s">
        <v>1433</v>
      </c>
      <c r="I3" s="8" t="n">
        <v>1</v>
      </c>
      <c r="J3" s="8" t="s">
        <v>1434</v>
      </c>
      <c r="K3" s="8" t="n">
        <v>1</v>
      </c>
      <c r="L3" s="8" t="n">
        <v>0</v>
      </c>
      <c r="M3" s="8" t="n">
        <v>0</v>
      </c>
      <c r="N3" s="8"/>
      <c r="O3" s="8"/>
      <c r="P3" s="8"/>
    </row>
    <row r="4" customFormat="false" ht="35.05" hidden="false" customHeight="false" outlineLevel="0" collapsed="false">
      <c r="A4" s="8" t="n">
        <v>3</v>
      </c>
      <c r="B4" s="8" t="n">
        <v>1</v>
      </c>
      <c r="C4" s="8" t="s">
        <v>938</v>
      </c>
      <c r="D4" s="8" t="s">
        <v>1424</v>
      </c>
      <c r="E4" s="7" t="s">
        <v>1435</v>
      </c>
      <c r="F4" s="8"/>
      <c r="G4" s="7" t="s">
        <v>1436</v>
      </c>
      <c r="H4" s="7" t="s">
        <v>1437</v>
      </c>
      <c r="I4" s="8" t="n">
        <v>2</v>
      </c>
      <c r="J4" s="8" t="s">
        <v>1438</v>
      </c>
      <c r="K4" s="8" t="n">
        <v>1</v>
      </c>
      <c r="L4" s="8" t="n">
        <v>0</v>
      </c>
      <c r="M4" s="8" t="n">
        <v>0</v>
      </c>
      <c r="N4" s="8"/>
      <c r="O4" s="8"/>
      <c r="P4" s="8"/>
    </row>
    <row r="5" customFormat="false" ht="23.85" hidden="false" customHeight="false" outlineLevel="0" collapsed="false">
      <c r="A5" s="8" t="n">
        <v>4</v>
      </c>
      <c r="B5" s="8" t="n">
        <v>2</v>
      </c>
      <c r="C5" s="8" t="s">
        <v>1439</v>
      </c>
      <c r="D5" s="8" t="s">
        <v>1424</v>
      </c>
      <c r="E5" s="7" t="s">
        <v>1440</v>
      </c>
      <c r="F5" s="8"/>
      <c r="G5" s="7" t="s">
        <v>1441</v>
      </c>
      <c r="H5" s="7" t="s">
        <v>1442</v>
      </c>
      <c r="I5" s="8" t="n">
        <v>1</v>
      </c>
      <c r="J5" s="8" t="s">
        <v>1434</v>
      </c>
      <c r="K5" s="8" t="n">
        <v>1</v>
      </c>
      <c r="L5" s="8" t="n">
        <v>0</v>
      </c>
      <c r="M5" s="8" t="n">
        <v>0</v>
      </c>
      <c r="N5" s="8"/>
      <c r="O5" s="8"/>
      <c r="P5" s="8"/>
    </row>
    <row r="6" customFormat="false" ht="35.05" hidden="false" customHeight="false" outlineLevel="0" collapsed="false">
      <c r="A6" s="8" t="n">
        <v>5</v>
      </c>
      <c r="B6" s="8" t="n">
        <v>2</v>
      </c>
      <c r="C6" s="8" t="s">
        <v>1443</v>
      </c>
      <c r="D6" s="8" t="s">
        <v>1424</v>
      </c>
      <c r="E6" s="7" t="s">
        <v>1444</v>
      </c>
      <c r="F6" s="8"/>
      <c r="G6" s="7" t="s">
        <v>1445</v>
      </c>
      <c r="H6" s="7" t="s">
        <v>1446</v>
      </c>
      <c r="I6" s="8" t="n">
        <v>2</v>
      </c>
      <c r="J6" s="8" t="s">
        <v>1447</v>
      </c>
      <c r="K6" s="8" t="n">
        <v>1</v>
      </c>
      <c r="L6" s="8" t="n">
        <v>0</v>
      </c>
      <c r="M6" s="8" t="n">
        <v>0</v>
      </c>
      <c r="N6" s="8"/>
      <c r="O6" s="8"/>
      <c r="P6" s="8"/>
    </row>
    <row r="7" customFormat="false" ht="23.85" hidden="false" customHeight="false" outlineLevel="0" collapsed="false">
      <c r="A7" s="8" t="n">
        <v>6</v>
      </c>
      <c r="B7" s="8" t="n">
        <v>3</v>
      </c>
      <c r="C7" s="8" t="s">
        <v>1448</v>
      </c>
      <c r="D7" s="8" t="s">
        <v>1424</v>
      </c>
      <c r="E7" s="7" t="s">
        <v>1449</v>
      </c>
      <c r="F7" s="8"/>
      <c r="G7" s="7" t="s">
        <v>1450</v>
      </c>
      <c r="H7" s="7" t="s">
        <v>1451</v>
      </c>
      <c r="I7" s="8" t="n">
        <v>1</v>
      </c>
      <c r="J7" s="8" t="s">
        <v>1452</v>
      </c>
      <c r="K7" s="8" t="n">
        <v>1</v>
      </c>
      <c r="L7" s="8" t="n">
        <v>0</v>
      </c>
      <c r="M7" s="8" t="n">
        <v>0</v>
      </c>
      <c r="N7" s="8"/>
      <c r="O7" s="8"/>
      <c r="P7" s="8"/>
    </row>
    <row r="8" customFormat="false" ht="35.05" hidden="false" customHeight="false" outlineLevel="0" collapsed="false">
      <c r="A8" s="8" t="n">
        <v>7</v>
      </c>
      <c r="B8" s="8" t="n">
        <v>4</v>
      </c>
      <c r="C8" s="8" t="s">
        <v>1453</v>
      </c>
      <c r="D8" s="8" t="s">
        <v>1429</v>
      </c>
      <c r="E8" s="7" t="s">
        <v>1454</v>
      </c>
      <c r="F8" s="8" t="s">
        <v>1455</v>
      </c>
      <c r="G8" s="7" t="s">
        <v>1104</v>
      </c>
      <c r="H8" s="7" t="s">
        <v>1456</v>
      </c>
      <c r="I8" s="8" t="n">
        <v>2</v>
      </c>
      <c r="J8" s="8" t="s">
        <v>1457</v>
      </c>
      <c r="K8" s="8" t="n">
        <v>1</v>
      </c>
      <c r="L8" s="8" t="n">
        <v>0</v>
      </c>
      <c r="M8" s="8" t="n">
        <v>0</v>
      </c>
      <c r="N8" s="8"/>
      <c r="O8" s="8"/>
      <c r="P8" s="8"/>
    </row>
    <row r="9" customFormat="false" ht="23.85" hidden="false" customHeight="false" outlineLevel="0" collapsed="false">
      <c r="A9" s="8" t="n">
        <v>8</v>
      </c>
      <c r="B9" s="8" t="n">
        <v>4</v>
      </c>
      <c r="C9" s="8" t="s">
        <v>1458</v>
      </c>
      <c r="D9" s="8" t="s">
        <v>1424</v>
      </c>
      <c r="E9" s="7" t="s">
        <v>1459</v>
      </c>
      <c r="F9" s="8"/>
      <c r="G9" s="7" t="s">
        <v>1460</v>
      </c>
      <c r="H9" s="7" t="s">
        <v>1461</v>
      </c>
      <c r="I9" s="8" t="n">
        <v>1</v>
      </c>
      <c r="J9" s="8" t="s">
        <v>1462</v>
      </c>
      <c r="K9" s="8" t="n">
        <v>1</v>
      </c>
      <c r="L9" s="8" t="n">
        <v>0</v>
      </c>
      <c r="M9" s="8" t="n">
        <v>0</v>
      </c>
      <c r="N9" s="8"/>
      <c r="O9" s="8"/>
      <c r="P9" s="8"/>
    </row>
    <row r="10" customFormat="false" ht="23.85" hidden="false" customHeight="false" outlineLevel="0" collapsed="false">
      <c r="A10" s="8" t="n">
        <v>9</v>
      </c>
      <c r="B10" s="8" t="n">
        <v>6</v>
      </c>
      <c r="C10" s="8" t="s">
        <v>1463</v>
      </c>
      <c r="D10" s="8" t="s">
        <v>1429</v>
      </c>
      <c r="E10" s="7" t="s">
        <v>1464</v>
      </c>
      <c r="F10" s="8" t="s">
        <v>1465</v>
      </c>
      <c r="G10" s="7" t="s">
        <v>1466</v>
      </c>
      <c r="H10" s="7" t="s">
        <v>1467</v>
      </c>
      <c r="I10" s="8" t="n">
        <v>1</v>
      </c>
      <c r="J10" s="8" t="s">
        <v>1468</v>
      </c>
      <c r="K10" s="8" t="n">
        <v>1</v>
      </c>
      <c r="L10" s="8" t="n">
        <v>0</v>
      </c>
      <c r="M10" s="8" t="n">
        <v>0</v>
      </c>
      <c r="N10" s="8"/>
      <c r="O10" s="8"/>
      <c r="P10" s="8"/>
    </row>
  </sheetData>
  <autoFilter ref="A1:P10"/>
  <dataValidations count="3">
    <dataValidation allowBlank="true" error="Pick a value from the list" errorStyle="stop" errorTitle="Invalid value" operator="between" showDropDown="false" showErrorMessage="false" showInputMessage="false" sqref="D2:D1010" type="list">
      <formula1>"MCQ,Short Answer,Numeric,True/False"</formula1>
      <formula2>0</formula2>
    </dataValidation>
    <dataValidation allowBlank="true" error="Pick a value from the list" errorStyle="stop" errorTitle="Invalid value" operator="between" showDropDown="false" showErrorMessage="false" showInputMessage="false" sqref="I2:I1010" type="list">
      <formula1>"1,2,3,4,5"</formula1>
      <formula2>0</formula2>
    </dataValidation>
    <dataValidation allowBlank="true" error="Pick a value from the list" errorStyle="stop" errorTitle="Invalid value" operator="between" showDropDown="false" showErrorMessage="false" showInputMessage="false" sqref="K2:K101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9" min="6" style="0" width="12"/>
  </cols>
  <sheetData>
    <row r="1" customFormat="false" ht="15" hidden="false" customHeight="false" outlineLevel="0" collapsed="false">
      <c r="A1" s="3" t="s">
        <v>1469</v>
      </c>
      <c r="B1" s="3" t="s">
        <v>2</v>
      </c>
      <c r="C1" s="3" t="s">
        <v>393</v>
      </c>
      <c r="D1" s="3" t="s">
        <v>1316</v>
      </c>
      <c r="E1" s="3" t="s">
        <v>1286</v>
      </c>
      <c r="F1" s="3" t="s">
        <v>1287</v>
      </c>
      <c r="G1" s="3" t="s">
        <v>1470</v>
      </c>
      <c r="H1" s="3" t="s">
        <v>1471</v>
      </c>
      <c r="I1" s="3" t="s">
        <v>60</v>
      </c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  <c r="I2" s="8"/>
    </row>
  </sheetData>
  <autoFilter ref="A1:I2"/>
  <dataValidations count="1">
    <dataValidation allowBlank="true" error="Pick a value from the list" errorStyle="stop" errorTitle="Invalid value" operator="between" showDropDown="false" showErrorMessage="false" showInputMessage="false" sqref="H2:H1001" type="list">
      <formula1>"Reading,Copying Notes,Practice,Review,Lecture,Lab,Group Study"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3" t="s">
        <v>1472</v>
      </c>
      <c r="B1" s="3" t="s">
        <v>2</v>
      </c>
      <c r="C1" s="3" t="s">
        <v>1316</v>
      </c>
      <c r="D1" s="3" t="s">
        <v>397</v>
      </c>
    </row>
    <row r="2" customFormat="false" ht="15" hidden="false" customHeight="false" outlineLevel="0" collapsed="false">
      <c r="A2" s="8"/>
      <c r="B2" s="8"/>
      <c r="C2" s="8"/>
      <c r="D2" s="8"/>
    </row>
  </sheetData>
  <autoFilter ref="A1:D2"/>
  <dataValidations count="1">
    <dataValidation allowBlank="true" error="Pick a value from the list" errorStyle="stop" errorTitle="Invalid value" operator="between" showDropDown="false" showErrorMessage="false" showInputMessage="false" sqref="D2:D1001" type="list">
      <formula1>"Present,Absent,Late,Excused"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3" t="s">
        <v>1473</v>
      </c>
      <c r="B1" s="3" t="s">
        <v>2</v>
      </c>
      <c r="C1" s="3" t="s">
        <v>4</v>
      </c>
      <c r="D1" s="3" t="s">
        <v>1474</v>
      </c>
      <c r="E1" s="3" t="s">
        <v>1475</v>
      </c>
      <c r="F1" s="3" t="s">
        <v>1476</v>
      </c>
      <c r="G1" s="3" t="s">
        <v>962</v>
      </c>
      <c r="H1" s="3" t="s">
        <v>963</v>
      </c>
      <c r="I1" s="3" t="s">
        <v>1477</v>
      </c>
      <c r="J1" s="3" t="s">
        <v>1478</v>
      </c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3" t="s">
        <v>1479</v>
      </c>
      <c r="B1" s="3" t="s">
        <v>2</v>
      </c>
      <c r="C1" s="3" t="s">
        <v>106</v>
      </c>
      <c r="D1" s="3" t="s">
        <v>1480</v>
      </c>
      <c r="E1" s="3" t="s">
        <v>1395</v>
      </c>
      <c r="F1" s="3" t="s">
        <v>1396</v>
      </c>
      <c r="G1" s="3" t="s">
        <v>965</v>
      </c>
      <c r="H1" s="3" t="s">
        <v>397</v>
      </c>
      <c r="I1" s="3" t="s">
        <v>1481</v>
      </c>
      <c r="J1" s="3" t="s">
        <v>60</v>
      </c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</row>
  </sheetData>
  <autoFilter ref="A1:J2"/>
  <dataValidations count="2">
    <dataValidation allowBlank="true" error="Pick a value from the list" errorStyle="stop" errorTitle="Invalid value" operator="between" showDropDown="false" showErrorMessage="false" showInputMessage="false" sqref="H2:H1001" type="list">
      <formula1>"Planned,In Progress,Done,Slipped"</formula1>
      <formula2>0</formula2>
    </dataValidation>
    <dataValidation allowBlank="true" error="Pick a value from the list" errorStyle="stop" errorTitle="Invalid value" operator="between" showDropDown="false" showErrorMessage="false" showInputMessage="false" sqref="I2:I1001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90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3" t="s">
        <v>1482</v>
      </c>
      <c r="B1" s="3" t="s">
        <v>1316</v>
      </c>
      <c r="C1" s="3" t="s">
        <v>2</v>
      </c>
      <c r="D1" s="3" t="s">
        <v>396</v>
      </c>
      <c r="E1" s="3" t="s">
        <v>1483</v>
      </c>
      <c r="F1" s="3" t="s">
        <v>1417</v>
      </c>
      <c r="G1" s="3" t="s">
        <v>1484</v>
      </c>
      <c r="H1" s="3" t="s">
        <v>1485</v>
      </c>
    </row>
    <row r="2" customFormat="false" ht="15" hidden="false" customHeight="false" outlineLevel="0" collapsed="false">
      <c r="A2" s="8" t="n">
        <v>1</v>
      </c>
      <c r="B2" s="8" t="s">
        <v>1200</v>
      </c>
      <c r="C2" s="8"/>
      <c r="D2" s="8" t="s">
        <v>1486</v>
      </c>
      <c r="E2" s="8" t="s">
        <v>1487</v>
      </c>
      <c r="F2" s="8" t="s">
        <v>1488</v>
      </c>
      <c r="G2" s="8" t="s">
        <v>1489</v>
      </c>
      <c r="H2" s="8" t="s">
        <v>1489</v>
      </c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3" t="s">
        <v>1490</v>
      </c>
      <c r="B1" s="3" t="s">
        <v>1491</v>
      </c>
    </row>
    <row r="2" customFormat="false" ht="15" hidden="false" customHeight="false" outlineLevel="0" collapsed="false">
      <c r="A2" s="8" t="s">
        <v>1492</v>
      </c>
      <c r="B2" s="8" t="s">
        <v>1107</v>
      </c>
    </row>
    <row r="3" customFormat="false" ht="15" hidden="false" customHeight="false" outlineLevel="0" collapsed="false">
      <c r="A3" s="8" t="s">
        <v>1493</v>
      </c>
      <c r="B3" s="8" t="s">
        <v>1399</v>
      </c>
    </row>
    <row r="4" customFormat="false" ht="15" hidden="false" customHeight="false" outlineLevel="0" collapsed="false">
      <c r="A4" s="8" t="s">
        <v>1494</v>
      </c>
      <c r="B4" s="8" t="s">
        <v>1108</v>
      </c>
    </row>
    <row r="5" customFormat="false" ht="15" hidden="false" customHeight="false" outlineLevel="0" collapsed="false">
      <c r="A5" s="8" t="s">
        <v>1495</v>
      </c>
      <c r="B5" s="8" t="s">
        <v>996</v>
      </c>
    </row>
    <row r="6" customFormat="false" ht="15" hidden="false" customHeight="false" outlineLevel="0" collapsed="false">
      <c r="A6" s="8" t="s">
        <v>1496</v>
      </c>
      <c r="B6" s="8" t="s">
        <v>1290</v>
      </c>
    </row>
    <row r="7" customFormat="false" ht="15" hidden="false" customHeight="false" outlineLevel="0" collapsed="false">
      <c r="A7" s="8" t="s">
        <v>1497</v>
      </c>
      <c r="B7" s="8" t="s">
        <v>1498</v>
      </c>
    </row>
    <row r="8" customFormat="false" ht="15" hidden="false" customHeight="false" outlineLevel="0" collapsed="false">
      <c r="A8" s="8" t="s">
        <v>1499</v>
      </c>
      <c r="B8" s="8"/>
    </row>
    <row r="9" customFormat="false" ht="15" hidden="false" customHeight="false" outlineLevel="0" collapsed="false">
      <c r="A9" s="8" t="s">
        <v>1500</v>
      </c>
      <c r="B9" s="8" t="s">
        <v>1104</v>
      </c>
    </row>
    <row r="10" customFormat="false" ht="15" hidden="false" customHeight="false" outlineLevel="0" collapsed="false">
      <c r="A10" s="8" t="s">
        <v>1501</v>
      </c>
      <c r="B10" s="8" t="s">
        <v>1502</v>
      </c>
    </row>
    <row r="11" customFormat="false" ht="15" hidden="false" customHeight="false" outlineLevel="0" collapsed="false">
      <c r="A11" s="8" t="s">
        <v>1503</v>
      </c>
      <c r="B11" s="8"/>
    </row>
    <row r="12" customFormat="false" ht="15" hidden="false" customHeight="false" outlineLevel="0" collapsed="false">
      <c r="A12" s="8" t="s">
        <v>1504</v>
      </c>
      <c r="B12" s="8" t="s">
        <v>934</v>
      </c>
    </row>
    <row r="13" customFormat="false" ht="15" hidden="false" customHeight="false" outlineLevel="0" collapsed="false">
      <c r="A13" s="8" t="s">
        <v>1505</v>
      </c>
      <c r="B13" s="8" t="s">
        <v>1506</v>
      </c>
    </row>
    <row r="14" customFormat="false" ht="15" hidden="false" customHeight="false" outlineLevel="0" collapsed="false">
      <c r="A14" s="8" t="s">
        <v>1507</v>
      </c>
      <c r="B14" s="8" t="s">
        <v>67</v>
      </c>
    </row>
    <row r="15" customFormat="false" ht="15" hidden="false" customHeight="false" outlineLevel="0" collapsed="false">
      <c r="A15" s="8" t="s">
        <v>1508</v>
      </c>
      <c r="B15" s="8" t="s">
        <v>1509</v>
      </c>
    </row>
  </sheetData>
  <autoFilter ref="A1:B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2026-09-03T05:56:28Z</dcterms:created>
  <dc:creator>openpyxl</dc:creator>
  <dc:description/>
  <dc:language>en-US</dc:language>
  <cp:lastModifiedBy/>
  <dcterms:modified xsi:type="dcterms:W3CDTF">2026-09-03T05:56:29Z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